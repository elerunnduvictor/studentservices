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churchofjesuschrist.sharepoint.com/sites/BYU-PathwayStudentSuccessRoleInventory/Shared Documents/"/>
    </mc:Choice>
  </mc:AlternateContent>
  <xr:revisionPtr revIDLastSave="0" documentId="8_{E0411115-F86A-49B1-A69F-91210C2C3ECA}" xr6:coauthVersionLast="47" xr6:coauthVersionMax="47" xr10:uidLastSave="{00000000-0000-0000-0000-000000000000}"/>
  <bookViews>
    <workbookView xWindow="-30" yWindow="-16320" windowWidth="29040" windowHeight="15720" firstSheet="9" activeTab="9" xr2:uid="{00000000-000D-0000-FFFF-FFFF00000000}"/>
  </bookViews>
  <sheets>
    <sheet name="Guiding Questions" sheetId="2" state="hidden" r:id="rId1"/>
    <sheet name="Overview" sheetId="8" r:id="rId2"/>
    <sheet name="Dean of Students" sheetId="9" r:id="rId3"/>
    <sheet name="Digital Ops" sheetId="11" r:id="rId4"/>
    <sheet name="Enrollment &amp; Retention" sheetId="10" r:id="rId5"/>
    <sheet name="Records, Registration, Supp (2)" sheetId="14" r:id="rId6"/>
    <sheet name="Records, Registration, Support " sheetId="6" state="hidden" r:id="rId7"/>
    <sheet name="2025 Baseline KPIs" sheetId="1" state="hidden" r:id="rId8"/>
    <sheet name="KPI Registry" sheetId="12" state="hidden" r:id="rId9"/>
    <sheet name="KPI ScoreCard" sheetId="15" r:id="rId10"/>
    <sheet name="Sheet1" sheetId="16" r:id="rId11"/>
  </sheets>
  <definedNames>
    <definedName name="_xlnm._FilterDatabase" localSheetId="7" hidden="1">'2025 Baseline KPIs'!$A$1:$L$1</definedName>
    <definedName name="_xlnm._FilterDatabase" localSheetId="2" hidden="1">'Dean of Students'!$A$2:$J$2</definedName>
    <definedName name="_xlnm._FilterDatabase" localSheetId="8" hidden="1">'KPI Registry'!$A$1:$J$1</definedName>
    <definedName name="_xlnm._FilterDatabase" localSheetId="9" hidden="1">'KPI ScoreCard'!$A$2:$P$155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0" i="15" l="1"/>
  <c r="L155" i="15"/>
  <c r="L150" i="15"/>
  <c r="M7" i="15"/>
  <c r="M4" i="15"/>
  <c r="M24" i="15"/>
  <c r="M147" i="15"/>
  <c r="M145" i="15"/>
  <c r="M135" i="15"/>
  <c r="M134" i="15"/>
  <c r="M133" i="15"/>
  <c r="N71" i="15"/>
  <c r="N70" i="15"/>
  <c r="A1" i="16" a="1"/>
  <c r="A1" i="16"/>
  <c r="S79" i="15"/>
  <c r="S78" i="15"/>
  <c r="L71" i="15"/>
  <c r="L70" i="15"/>
  <c r="M127" i="15"/>
  <c r="M128" i="15"/>
  <c r="M103" i="15"/>
  <c r="B103" i="15"/>
  <c r="M126" i="15"/>
  <c r="M16" i="15"/>
  <c r="M35" i="15"/>
  <c r="M3" i="15"/>
  <c r="M5" i="15"/>
  <c r="M6" i="15"/>
  <c r="M10" i="15"/>
  <c r="M11" i="15"/>
  <c r="M12" i="15"/>
  <c r="M13" i="15"/>
  <c r="M14" i="15"/>
  <c r="M15" i="15"/>
  <c r="M17" i="15"/>
  <c r="M18" i="15"/>
  <c r="M19" i="15"/>
  <c r="M20" i="15"/>
  <c r="M21" i="15"/>
  <c r="M22" i="15"/>
  <c r="M23" i="15"/>
  <c r="M25" i="15"/>
  <c r="M26" i="15"/>
  <c r="M27" i="15"/>
  <c r="M28" i="15"/>
  <c r="M29" i="15"/>
  <c r="M30" i="15"/>
  <c r="M31" i="15"/>
  <c r="M32" i="15"/>
  <c r="M33" i="15"/>
  <c r="M34" i="15"/>
  <c r="M36" i="15"/>
  <c r="M37" i="15"/>
  <c r="M38" i="15"/>
  <c r="M39" i="15"/>
  <c r="M41" i="15"/>
  <c r="M42" i="15"/>
  <c r="M43" i="15"/>
  <c r="M44" i="15"/>
  <c r="M45" i="15"/>
  <c r="M46" i="15"/>
  <c r="M47" i="15"/>
  <c r="M48" i="15"/>
  <c r="M49" i="15"/>
  <c r="M50" i="15"/>
  <c r="M51" i="15"/>
  <c r="M52" i="15"/>
  <c r="M53" i="15"/>
  <c r="M54" i="15"/>
  <c r="M55" i="15"/>
  <c r="M56" i="15"/>
  <c r="M57" i="15"/>
  <c r="M58" i="15"/>
  <c r="M59" i="15"/>
  <c r="M60" i="15"/>
  <c r="M61" i="15"/>
  <c r="M62" i="15"/>
  <c r="M63" i="15"/>
  <c r="M64" i="15"/>
  <c r="M65" i="15"/>
  <c r="M66" i="15"/>
  <c r="M67" i="15"/>
  <c r="M68" i="15"/>
  <c r="M69" i="15"/>
  <c r="M70" i="15"/>
  <c r="M71" i="15"/>
  <c r="M72" i="15"/>
  <c r="M73" i="15"/>
  <c r="M74" i="15"/>
  <c r="M75" i="15"/>
  <c r="M76" i="15"/>
  <c r="M77" i="15"/>
  <c r="M78" i="15"/>
  <c r="M79" i="15"/>
  <c r="M80" i="15"/>
  <c r="M81" i="15"/>
  <c r="M82" i="15"/>
  <c r="M83" i="15"/>
  <c r="M84" i="15"/>
  <c r="M85" i="15"/>
  <c r="M86" i="15"/>
  <c r="M87" i="15"/>
  <c r="M88" i="15"/>
  <c r="M89" i="15"/>
  <c r="M90" i="15"/>
  <c r="M91" i="15"/>
  <c r="M92" i="15"/>
  <c r="M93" i="15"/>
  <c r="M94" i="15"/>
  <c r="M95" i="15"/>
  <c r="M96" i="15"/>
  <c r="M97" i="15"/>
  <c r="M98" i="15"/>
  <c r="M99" i="15"/>
  <c r="M100" i="15"/>
  <c r="M101" i="15"/>
  <c r="M102" i="15"/>
  <c r="M104" i="15"/>
  <c r="M105" i="15"/>
  <c r="M106" i="15"/>
  <c r="M107" i="15"/>
  <c r="M108" i="15"/>
  <c r="M109" i="15"/>
  <c r="M110" i="15"/>
  <c r="M111" i="15"/>
  <c r="M112" i="15"/>
  <c r="M113" i="15"/>
  <c r="M114" i="15"/>
  <c r="M115" i="15"/>
  <c r="M116" i="15"/>
  <c r="M117" i="15"/>
  <c r="M118" i="15"/>
  <c r="M119" i="15"/>
  <c r="M120" i="15"/>
  <c r="M121" i="15"/>
  <c r="M122" i="15"/>
  <c r="M123" i="15"/>
  <c r="M124" i="15"/>
  <c r="M125" i="15"/>
  <c r="M129" i="15"/>
  <c r="M130" i="15"/>
  <c r="M131" i="15"/>
  <c r="M132" i="15"/>
  <c r="M136" i="15"/>
  <c r="M137" i="15"/>
  <c r="M138" i="15"/>
  <c r="M139" i="15"/>
  <c r="M140" i="15"/>
  <c r="M141" i="15"/>
  <c r="M142" i="15"/>
  <c r="M143" i="15"/>
  <c r="M144" i="15"/>
  <c r="M146" i="15"/>
  <c r="M148" i="15"/>
  <c r="M149" i="15"/>
  <c r="M150" i="15"/>
  <c r="M151" i="15"/>
  <c r="M152" i="15"/>
  <c r="M153" i="15"/>
  <c r="M154" i="15"/>
  <c r="M155" i="15"/>
  <c r="M8" i="15"/>
  <c r="M9" i="15"/>
  <c r="B155" i="15"/>
  <c r="B154" i="15"/>
  <c r="B153" i="15"/>
  <c r="B152" i="15"/>
  <c r="B151" i="15"/>
  <c r="B150" i="15"/>
  <c r="B149" i="15"/>
  <c r="B148" i="15"/>
  <c r="B147" i="15"/>
  <c r="B146" i="15"/>
  <c r="B145" i="15"/>
  <c r="B144" i="15"/>
  <c r="B143" i="15"/>
  <c r="B142" i="15"/>
  <c r="B141" i="15"/>
  <c r="B140" i="15"/>
  <c r="B139" i="15"/>
  <c r="B138" i="15"/>
  <c r="B137" i="15"/>
  <c r="B136" i="15"/>
  <c r="B135" i="15"/>
  <c r="B134" i="15"/>
  <c r="B133" i="15"/>
  <c r="B132" i="15"/>
  <c r="B131" i="15"/>
  <c r="B130" i="15"/>
  <c r="B129" i="15"/>
  <c r="B126" i="15"/>
  <c r="B125" i="15"/>
  <c r="B124" i="15"/>
  <c r="B123" i="15"/>
  <c r="B122" i="15"/>
  <c r="B121" i="15"/>
  <c r="B120" i="15"/>
  <c r="B119" i="15"/>
  <c r="B118" i="15"/>
  <c r="B117" i="15"/>
  <c r="B116" i="15"/>
  <c r="B115" i="15"/>
  <c r="B114" i="15"/>
  <c r="B113" i="15"/>
  <c r="B112" i="15"/>
  <c r="B111" i="15"/>
  <c r="B110" i="15"/>
  <c r="B109" i="15"/>
  <c r="B108" i="15"/>
  <c r="B107" i="15"/>
  <c r="B106" i="15"/>
  <c r="B105" i="15"/>
  <c r="B104" i="15"/>
  <c r="B102" i="15"/>
  <c r="B101" i="15"/>
  <c r="B100" i="15"/>
  <c r="B99" i="15"/>
  <c r="B98" i="15"/>
  <c r="B97" i="15"/>
  <c r="B96" i="15"/>
  <c r="B121" i="12"/>
  <c r="B122" i="12"/>
  <c r="B123" i="12"/>
  <c r="B124" i="12"/>
  <c r="B125" i="12"/>
  <c r="B126" i="12"/>
  <c r="B127" i="12"/>
  <c r="B128" i="12"/>
  <c r="B129" i="12"/>
  <c r="B130" i="12"/>
  <c r="B131" i="12"/>
  <c r="B132" i="12"/>
  <c r="B133" i="12"/>
  <c r="B134" i="12"/>
  <c r="B138" i="12"/>
  <c r="B139" i="12"/>
  <c r="B140" i="12"/>
  <c r="B141" i="12"/>
  <c r="B135" i="12"/>
  <c r="B136" i="12"/>
  <c r="B137" i="12"/>
  <c r="B142" i="12"/>
  <c r="B143" i="12"/>
  <c r="B144" i="12"/>
  <c r="B145" i="12"/>
  <c r="B146" i="12"/>
  <c r="B147" i="12"/>
  <c r="B148" i="12"/>
  <c r="B149" i="12"/>
  <c r="B150" i="12"/>
  <c r="B151" i="12"/>
  <c r="B152" i="12"/>
  <c r="B153" i="12"/>
  <c r="B154" i="12"/>
  <c r="B120" i="12"/>
  <c r="B93" i="12"/>
  <c r="B94" i="12"/>
  <c r="B95" i="12"/>
  <c r="B96" i="12"/>
  <c r="B97" i="12"/>
  <c r="B98" i="12"/>
  <c r="B99" i="12"/>
  <c r="B100" i="12"/>
  <c r="B101" i="12"/>
  <c r="B102" i="12"/>
  <c r="B103" i="12"/>
  <c r="B104" i="12"/>
  <c r="B105" i="12"/>
  <c r="B106" i="12"/>
  <c r="B107" i="12"/>
  <c r="B108" i="12"/>
  <c r="B109" i="12"/>
  <c r="B110" i="12"/>
  <c r="B111" i="12"/>
  <c r="B112" i="12"/>
  <c r="B113" i="12"/>
  <c r="B114" i="12"/>
  <c r="B115" i="12"/>
  <c r="B116" i="12"/>
  <c r="B117" i="12"/>
  <c r="B118" i="12"/>
  <c r="B119" i="12"/>
  <c r="B92" i="12"/>
  <c r="Z5" i="14"/>
  <c r="Y4" i="9"/>
  <c r="Z4" i="9"/>
  <c r="Y5" i="9"/>
  <c r="Z5" i="9"/>
  <c r="Y7" i="9"/>
  <c r="Z7" i="9"/>
  <c r="Y6" i="9"/>
  <c r="Z6" i="9"/>
  <c r="Y8" i="9"/>
  <c r="Z8" i="9"/>
  <c r="Y9" i="9"/>
  <c r="Z9" i="9"/>
  <c r="Z3" i="9"/>
  <c r="Y3" i="9"/>
  <c r="Z30" i="14"/>
  <c r="Z29" i="14"/>
  <c r="Z28" i="14"/>
  <c r="Z27" i="14"/>
  <c r="Z26" i="14"/>
  <c r="Z25" i="14"/>
  <c r="Z24" i="14"/>
  <c r="Z23" i="14"/>
  <c r="Z22" i="14"/>
  <c r="Z21" i="14"/>
  <c r="Z20" i="14"/>
  <c r="Z19" i="14"/>
  <c r="Z18" i="14"/>
  <c r="AA17" i="14"/>
  <c r="Z17" i="14"/>
  <c r="AA16" i="14"/>
  <c r="Z16" i="14"/>
  <c r="AA15" i="14"/>
  <c r="Z15" i="14"/>
  <c r="AA14" i="14"/>
  <c r="Z14" i="14"/>
  <c r="AA13" i="14"/>
  <c r="Z13" i="14"/>
  <c r="AA12" i="14"/>
  <c r="Z12" i="14"/>
  <c r="AA11" i="14"/>
  <c r="Z11" i="14"/>
  <c r="AA10" i="14"/>
  <c r="Z10" i="14"/>
  <c r="AA9" i="14"/>
  <c r="Z9" i="14"/>
  <c r="AA8" i="14"/>
  <c r="Z8" i="14"/>
  <c r="AA7" i="14"/>
  <c r="Z7" i="14"/>
  <c r="AA6" i="14"/>
  <c r="Z6" i="14"/>
  <c r="AA5" i="14"/>
  <c r="AA4" i="14"/>
  <c r="Z4" i="14"/>
  <c r="AA3" i="14"/>
  <c r="Z3" i="14"/>
  <c r="Y10" i="9"/>
  <c r="Z10" i="9"/>
  <c r="Z4" i="11"/>
  <c r="AA4" i="11"/>
  <c r="Z5" i="11"/>
  <c r="AA5" i="11"/>
  <c r="Z6" i="11"/>
  <c r="AA6" i="11"/>
  <c r="Z7" i="11"/>
  <c r="AA7" i="11"/>
  <c r="Z8" i="11"/>
  <c r="AA8" i="11"/>
  <c r="Z9" i="11"/>
  <c r="AA9" i="11"/>
  <c r="Z10" i="11"/>
  <c r="AA10" i="11"/>
  <c r="Z11" i="11"/>
  <c r="AA11" i="11"/>
  <c r="Z12" i="11"/>
  <c r="AA12" i="11"/>
  <c r="AA3" i="11"/>
  <c r="Z3" i="11"/>
  <c r="Z5" i="10"/>
  <c r="AA5" i="10"/>
  <c r="Z6" i="10"/>
  <c r="AA6" i="10"/>
  <c r="Z7" i="10"/>
  <c r="AA7" i="10"/>
  <c r="Z8" i="10"/>
  <c r="AA8" i="10"/>
  <c r="Z9" i="10"/>
  <c r="AA9" i="10"/>
  <c r="Z10" i="10"/>
  <c r="AA10" i="10"/>
  <c r="Z11" i="10"/>
  <c r="AA11" i="10"/>
  <c r="Z12" i="10"/>
  <c r="AA12" i="10"/>
  <c r="Z13" i="10"/>
  <c r="AA13" i="10"/>
  <c r="Z14" i="10"/>
  <c r="AA14" i="10"/>
  <c r="AA3" i="10"/>
  <c r="Z3" i="10"/>
  <c r="Z4" i="6"/>
  <c r="AA4" i="6"/>
  <c r="Z8" i="6"/>
  <c r="AA8" i="6"/>
  <c r="Z9" i="6"/>
  <c r="AA9" i="6"/>
  <c r="Z5" i="6"/>
  <c r="AA5" i="6"/>
  <c r="Z6" i="6"/>
  <c r="AA6" i="6"/>
  <c r="Z7" i="6"/>
  <c r="AA7" i="6"/>
  <c r="Z10" i="6"/>
  <c r="AA10" i="6"/>
  <c r="Z11" i="6"/>
  <c r="AA11" i="6"/>
  <c r="Z12" i="6"/>
  <c r="AA12" i="6"/>
  <c r="Z13" i="6"/>
  <c r="AA13" i="6"/>
  <c r="Z14" i="6"/>
  <c r="AA14" i="6"/>
  <c r="Z15" i="6"/>
  <c r="AA15" i="6"/>
  <c r="Z16" i="6"/>
  <c r="AA16" i="6"/>
  <c r="Z17" i="6"/>
  <c r="AA17" i="6"/>
  <c r="AA3" i="6"/>
  <c r="Z3" i="6"/>
  <c r="Y11" i="9"/>
  <c r="Z11" i="9"/>
  <c r="Y12" i="9"/>
  <c r="Z12" i="9"/>
  <c r="Y13" i="9"/>
  <c r="Z13" i="9"/>
  <c r="Y14" i="9"/>
  <c r="Z14" i="9"/>
  <c r="Y15" i="9"/>
  <c r="Z15" i="9"/>
  <c r="Y16" i="9"/>
  <c r="Z16" i="9"/>
  <c r="Y17" i="9"/>
  <c r="Z17" i="9"/>
  <c r="Y18" i="9"/>
  <c r="Z18" i="9"/>
  <c r="Y19" i="9"/>
  <c r="Z19" i="9"/>
  <c r="Y20" i="9"/>
  <c r="Z20" i="9"/>
  <c r="Y21" i="9"/>
  <c r="Z21" i="9"/>
  <c r="Y22" i="9"/>
  <c r="Z22" i="9"/>
  <c r="Y23" i="9"/>
  <c r="Z23" i="9"/>
  <c r="Y24" i="9"/>
  <c r="Z24" i="9"/>
  <c r="Z13" i="11"/>
  <c r="AA13" i="11"/>
  <c r="Z14" i="11"/>
  <c r="AA14" i="11"/>
  <c r="Z15" i="11"/>
  <c r="AA15" i="11"/>
  <c r="Z16" i="11"/>
  <c r="AA16" i="11"/>
  <c r="Z17" i="11"/>
  <c r="AA17" i="11"/>
  <c r="Z18" i="11"/>
  <c r="AA18" i="11"/>
  <c r="Z19" i="11"/>
  <c r="AA19" i="11"/>
  <c r="Z20" i="11"/>
  <c r="AA20" i="11"/>
  <c r="Z21" i="11"/>
  <c r="AA21" i="11"/>
  <c r="Z22" i="11"/>
  <c r="AA22" i="11"/>
  <c r="Z23" i="11"/>
  <c r="AA23" i="11"/>
  <c r="Z24" i="11"/>
  <c r="AA24" i="11"/>
  <c r="Z25" i="11"/>
  <c r="AA25" i="11"/>
  <c r="Z26" i="11"/>
  <c r="AA26" i="11"/>
  <c r="Z27" i="11"/>
  <c r="AA27" i="11"/>
  <c r="Z28" i="11"/>
  <c r="AA28" i="11"/>
  <c r="Z29" i="11"/>
  <c r="AA29" i="11"/>
  <c r="Z30" i="11"/>
  <c r="AA30" i="11"/>
  <c r="Z31" i="11"/>
  <c r="AA31" i="11"/>
  <c r="Z32" i="11"/>
  <c r="AA32" i="11"/>
  <c r="Z33" i="11"/>
  <c r="AA33" i="11"/>
  <c r="Z34" i="11"/>
  <c r="AA34" i="11"/>
  <c r="Z35" i="11"/>
  <c r="AA35" i="11"/>
  <c r="Z36" i="11"/>
  <c r="AA36" i="11"/>
  <c r="Z37" i="11"/>
  <c r="AA37" i="11"/>
  <c r="Z38" i="11"/>
  <c r="AA38" i="11"/>
  <c r="Z39" i="11"/>
  <c r="AA39" i="11"/>
  <c r="Z40" i="11"/>
  <c r="AA40" i="11"/>
  <c r="Z41" i="11"/>
  <c r="AA41" i="11"/>
  <c r="Z42" i="11"/>
  <c r="AA42" i="11"/>
  <c r="Z15" i="10"/>
  <c r="AA15" i="10"/>
  <c r="Z16" i="10"/>
  <c r="AA16" i="10"/>
  <c r="Z17" i="10"/>
  <c r="AA17" i="10"/>
  <c r="Z18" i="10"/>
  <c r="AA18" i="10"/>
  <c r="Z19" i="10"/>
  <c r="AA19" i="10"/>
  <c r="Z20" i="10"/>
  <c r="AA20" i="10"/>
  <c r="Z21" i="10"/>
  <c r="AA21" i="10"/>
  <c r="Z22" i="10"/>
  <c r="AA22" i="10"/>
  <c r="Z23" i="10"/>
  <c r="AA23" i="10"/>
  <c r="Z24" i="10"/>
  <c r="AA24" i="10"/>
  <c r="Z25" i="10"/>
  <c r="AA25" i="10"/>
  <c r="Z26" i="10"/>
  <c r="AA26" i="10"/>
  <c r="Z27" i="10"/>
  <c r="AA27" i="10"/>
  <c r="Z28" i="10"/>
  <c r="AA28" i="10"/>
  <c r="Z29" i="10"/>
  <c r="AA29" i="10"/>
  <c r="Z30" i="10"/>
  <c r="AA30" i="10"/>
  <c r="Z31" i="10"/>
  <c r="AA31" i="10"/>
  <c r="Z32" i="10"/>
  <c r="AA32" i="10"/>
  <c r="Z18" i="6"/>
  <c r="Z19" i="6"/>
  <c r="Z20" i="6"/>
  <c r="Z21" i="6"/>
  <c r="Z22" i="6"/>
  <c r="Z23" i="6"/>
  <c r="Z24" i="6"/>
  <c r="Z25" i="6"/>
  <c r="Z26" i="6"/>
  <c r="Z27" i="6"/>
  <c r="Z28" i="6"/>
  <c r="Z29" i="6"/>
  <c r="Z3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Jess Swinburne</author>
  </authors>
  <commentList>
    <comment ref="F9" authorId="0" shapeId="0" xr:uid="{0E365801-CD1F-4BFB-B3B0-2B3DBF438F18}">
      <text>
        <r>
          <rPr>
            <sz val="11"/>
            <color theme="1"/>
            <rFont val="Aptos Narrow"/>
            <family val="2"/>
            <scheme val="minor"/>
          </rPr>
          <t>Jess Swinburne:
Pending - CSAT or QA of some kind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Jess Swinburne</author>
  </authors>
  <commentList>
    <comment ref="F6" authorId="0" shapeId="0" xr:uid="{65954676-C85D-49BC-95EB-DF3B4A3B92CE}">
      <text>
        <r>
          <rPr>
            <sz val="11"/>
            <color theme="1"/>
            <rFont val="Aptos Narrow"/>
            <family val="2"/>
            <scheme val="minor"/>
          </rPr>
          <t>Jess Swinburne:
Seeking appropriate metrics</t>
        </r>
      </text>
    </comment>
    <comment ref="E7" authorId="0" shapeId="0" xr:uid="{58920D97-A8A5-4B87-BADE-DAEF5895C3A7}">
      <text>
        <r>
          <rPr>
            <sz val="11"/>
            <color theme="1"/>
            <rFont val="Aptos Narrow"/>
            <family val="2"/>
            <scheme val="minor"/>
          </rPr>
          <t>Jess Swinburne:
Seeking appropriate metrics</t>
        </r>
      </text>
    </comment>
    <comment ref="F7" authorId="0" shapeId="0" xr:uid="{51C03146-9731-4DE9-87E2-6DBA7EFEB2B0}">
      <text>
        <r>
          <rPr>
            <sz val="11"/>
            <color theme="1"/>
            <rFont val="Aptos Narrow"/>
            <family val="2"/>
            <scheme val="minor"/>
          </rPr>
          <t>Jess Swinburne:
Seeking appropriate metrics</t>
        </r>
      </text>
    </comment>
    <comment ref="E9" authorId="0" shapeId="0" xr:uid="{8FD225A4-4441-45FF-9D04-11B6A712AB28}">
      <text>
        <r>
          <rPr>
            <sz val="11"/>
            <color theme="1"/>
            <rFont val="Aptos Narrow"/>
            <family val="2"/>
            <scheme val="minor"/>
          </rPr>
          <t>Jess Swinburne:
(Potential to explore - KB production rate)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Jess Swinburne</author>
  </authors>
  <commentList>
    <comment ref="F6" authorId="0" shapeId="0" xr:uid="{28C6F0BC-E596-428A-96C1-15F5AA4EECDC}">
      <text>
        <r>
          <rPr>
            <sz val="11"/>
            <color theme="1"/>
            <rFont val="Aptos Narrow"/>
            <family val="2"/>
            <scheme val="minor"/>
          </rPr>
          <t>Jess Swinburne:
Seeking appropriate metrics</t>
        </r>
      </text>
    </comment>
    <comment ref="E7" authorId="0" shapeId="0" xr:uid="{257263BA-CB39-4E7A-B6B4-212E83CEC6BB}">
      <text>
        <r>
          <rPr>
            <sz val="11"/>
            <color theme="1"/>
            <rFont val="Aptos Narrow"/>
            <family val="2"/>
            <scheme val="minor"/>
          </rPr>
          <t>Jess Swinburne:
Seeking appropriate metrics</t>
        </r>
      </text>
    </comment>
    <comment ref="F7" authorId="0" shapeId="0" xr:uid="{6C48AA18-7619-4614-8AD3-748D04A92758}">
      <text>
        <r>
          <rPr>
            <sz val="11"/>
            <color theme="1"/>
            <rFont val="Aptos Narrow"/>
            <family val="2"/>
            <scheme val="minor"/>
          </rPr>
          <t>Jess Swinburne:
Seeking appropriate metrics</t>
        </r>
      </text>
    </comment>
    <comment ref="E9" authorId="0" shapeId="0" xr:uid="{FE491B70-E3EB-47AB-A528-DC0D64627151}">
      <text>
        <r>
          <rPr>
            <sz val="11"/>
            <color theme="1"/>
            <rFont val="Aptos Narrow"/>
            <family val="2"/>
            <scheme val="minor"/>
          </rPr>
          <t>Jess Swinburne:
(Potential to explore - KB production rate)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tc={EC6F673A-2234-43D1-B821-943F667F7310}</author>
    <author>tc={FF96ECCB-B35D-4579-9933-9D691EEBC649}</author>
    <author>tc={63E12F0C-3018-406B-BC86-831B800E3E2E}</author>
    <author>tc={E3207B55-211E-4EC0-A6A4-B79BD52BFC8F}</author>
    <author>tc={EDB2EC4B-78E6-4279-A844-E7EA32DF0659}</author>
    <author>tc={A1E8F2EE-75B8-47EC-977C-8E9F8C95AB00}</author>
    <author>tc={8ACEC6F0-AFA5-4628-A143-1FB4C8A741E1}</author>
    <author>tc={57972554-ABB1-4911-8BE5-1E543BC5EBFE}</author>
    <author>tc={24771082-B15B-41F2-8013-219F6CFDAF59}</author>
    <author>tc={B815F813-A269-4F18-BED8-7261ED8F55B8}</author>
    <author>tc={1CEFA86F-4216-4A5B-BC7E-A51B7741711C}</author>
    <author>tc={8A74B5CA-0799-4FBC-A405-1774C7BF04BC}</author>
    <author>tc={E51007E4-1F47-42A9-81A8-FC81F2D5A59B}</author>
    <author>tc={3810A518-C3C4-47ED-B284-8334B932C655}</author>
  </authors>
  <commentList>
    <comment ref="D10" authorId="0" shapeId="0" xr:uid="{EC6F673A-2234-43D1-B821-943F667F7310}">
      <text>
        <t>[Threaded comment]
Your version of Excel allows you to read this threaded comment; however, any edits to it will get removed if the file is opened in a newer version of Excel. Learn more: https://go.microsoft.com/fwlink/?linkid=870924
Comment:
    Students receiving DOS case response within 5 days</t>
      </text>
    </comment>
    <comment ref="D14" authorId="1" shapeId="0" xr:uid="{FF96ECCB-B35D-4579-9933-9D691EEBC649}">
      <text>
        <t>[Threaded comment]
Your version of Excel allows you to read this threaded comment; however, any edits to it will get removed if the file is opened in a newer version of Excel. Learn more: https://go.microsoft.com/fwlink/?linkid=870924
Comment:
    Students receiving Honor &amp; Conduct case response within 5 days</t>
      </text>
    </comment>
    <comment ref="D27" authorId="2" shapeId="0" xr:uid="{63E12F0C-3018-406B-BC86-831B800E3E2E}">
      <text>
        <t xml:space="preserve">[Threaded comment]
Your version of Excel allows you to read this threaded comment; however, any edits to it will get removed if the file is opened in a newer version of Excel. Learn more: https://go.microsoft.com/fwlink/?linkid=870924
Comment:
    Students receiving crisis case response within 24 hours </t>
      </text>
    </comment>
    <comment ref="N64" authorId="3" shapeId="0" xr:uid="{E3207B55-211E-4EC0-A6A4-B79BD52BFC8F}">
      <text>
        <t>[Threaded comment]
Your version of Excel allows you to read this threaded comment; however, any edits to it will get removed if the file is opened in a newer version of Excel. Learn more: https://go.microsoft.com/fwlink/?linkid=870924
Comment:
    Link to Data requires permission</t>
      </text>
    </comment>
    <comment ref="L67" authorId="4" shapeId="0" xr:uid="{EDB2EC4B-78E6-4279-A844-E7EA32DF0659}">
      <text>
        <t>[Threaded comment]
Your version of Excel allows you to read this threaded comment; however, any edits to it will get removed if the file is opened in a newer version of Excel. Learn more: https://go.microsoft.com/fwlink/?linkid=870924
Comment:
    Not showing percentage in the PowerBI. Will work with Josh to add percentage to the PowerBi report.</t>
      </text>
    </comment>
    <comment ref="L75" authorId="5" shapeId="0" xr:uid="{A1E8F2EE-75B8-47EC-977C-8E9F8C95AB00}">
      <text>
        <t>[Threaded comment]
Your version of Excel allows you to read this threaded comment; however, any edits to it will get removed if the file is opened in a newer version of Excel. Learn more: https://go.microsoft.com/fwlink/?linkid=870924
Comment:
    Work with Josh for a better report</t>
      </text>
    </comment>
    <comment ref="N78" authorId="6" shapeId="0" xr:uid="{8ACEC6F0-AFA5-4628-A143-1FB4C8A741E1}">
      <text>
        <t>[Threaded comment]
Your version of Excel allows you to read this threaded comment; however, any edits to it will get removed if the file is opened in a newer version of Excel. Learn more: https://go.microsoft.com/fwlink/?linkid=870924
Comment:
    There's a powerbi report that needs refinement.</t>
      </text>
    </comment>
    <comment ref="N79" authorId="7" shapeId="0" xr:uid="{57972554-ABB1-4911-8BE5-1E543BC5EBFE}">
      <text>
        <t>[Threaded comment]
Your version of Excel allows you to read this threaded comment; however, any edits to it will get removed if the file is opened in a newer version of Excel. Learn more: https://go.microsoft.com/fwlink/?linkid=870924
Comment:
    There's a powerbi report that needs refinement</t>
      </text>
    </comment>
    <comment ref="L84" authorId="8" shapeId="0" xr:uid="{24771082-B15B-41F2-8013-219F6CFDAF59}">
      <text>
        <t>[Threaded comment]
Your version of Excel allows you to read this threaded comment; however, any edits to it will get removed if the file is opened in a newer version of Excel. Learn more: https://go.microsoft.com/fwlink/?linkid=870924
Comment:
    Not showing percentage in the PowerBI. Will work with Josh to add percentage to the PowerBi report.</t>
      </text>
    </comment>
    <comment ref="L93" authorId="9" shapeId="0" xr:uid="{B815F813-A269-4F18-BED8-7261ED8F55B8}">
      <text>
        <t>[Threaded comment]
Your version of Excel allows you to read this threaded comment; however, any edits to it will get removed if the file is opened in a newer version of Excel. Learn more: https://go.microsoft.com/fwlink/?linkid=870924
Comment:
    Report system in progress for Registration
Reply:
    This is live now.</t>
      </text>
    </comment>
    <comment ref="D101" authorId="10" shapeId="0" xr:uid="{1CEFA86F-4216-4A5B-BC7E-A51B7741711C}">
      <text>
        <t xml:space="preserve">[Threaded comment]
Your version of Excel allows you to read this threaded comment; however, any edits to it will get removed if the file is opened in a newer version of Excel. Learn more: https://go.microsoft.com/fwlink/?linkid=870924
Comment:
    To mirror Trevor </t>
      </text>
    </comment>
    <comment ref="D102" authorId="11" shapeId="0" xr:uid="{8A74B5CA-0799-4FBC-A405-1774C7BF04BC}">
      <text>
        <t xml:space="preserve">[Threaded comment]
Your version of Excel allows you to read this threaded comment; however, any edits to it will get removed if the file is opened in a newer version of Excel. Learn more: https://go.microsoft.com/fwlink/?linkid=870924
Comment:
    Based on PC Certificates Awarded &amp; Requirements Achieved
Reply:
    For the nearest concluded period </t>
      </text>
    </comment>
    <comment ref="L150" authorId="12" shapeId="0" xr:uid="{E51007E4-1F47-42A9-81A8-FC81F2D5A59B}">
      <text>
        <t>[Threaded comment]
Your version of Excel allows you to read this threaded comment; however, any edits to it will get removed if the file is opened in a newer version of Excel. Learn more: https://go.microsoft.com/fwlink/?linkid=870924
Comment:
    Process:
- Visit report 
- Filter to the most recently concluded month, and the right queue 
- Divide the resolved cases by the total cases</t>
      </text>
    </comment>
    <comment ref="L155" authorId="13" shapeId="0" xr:uid="{3810A518-C3C4-47ED-B284-8334B932C655}">
      <text>
        <t>[Threaded comment]
Your version of Excel allows you to read this threaded comment; however, any edits to it will get removed if the file is opened in a newer version of Excel. Learn more: https://go.microsoft.com/fwlink/?linkid=870924
Comment:
    Process:
- Visit report 
- Filter to the most recently concluded month, and the right queue 
- Divide the resolved cases by the total cases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<sst xmlns="http://schemas.openxmlformats.org/spreadsheetml/2006/main" count="4148" uniqueCount="772">
  <si>
    <t>S/N</t>
  </si>
  <si>
    <t>Question</t>
  </si>
  <si>
    <t>Focus</t>
  </si>
  <si>
    <t>Goal</t>
  </si>
  <si>
    <t>What are the most important outcomes you are responsible for?</t>
  </si>
  <si>
    <t>(Could limit to 2 or 3)</t>
  </si>
  <si>
    <t>This question seeks to help you both establish a clear and simple objective for the role.</t>
  </si>
  <si>
    <t>What evidence is there to show that you have done a great Job?</t>
  </si>
  <si>
    <t>A simple answer indicating a positive change</t>
  </si>
  <si>
    <t xml:space="preserve">The aim here is to visualize what success looks like for the role.  Additionally you would want to take note if the outcome can be quantified. </t>
  </si>
  <si>
    <t>What activities or behaviours lead to these outcomes?</t>
  </si>
  <si>
    <t xml:space="preserve">Role and department specific. </t>
  </si>
  <si>
    <t>Aims to understand what drives success</t>
  </si>
  <si>
    <t>Are they existing metrics or numbers that show success in these area?</t>
  </si>
  <si>
    <t xml:space="preserve"> The goal is to understand how success is already measured. </t>
  </si>
  <si>
    <t>If there are existing data, where does it come from?</t>
  </si>
  <si>
    <t>A system or report that generates or shows these data.</t>
  </si>
  <si>
    <t xml:space="preserve">This question points us to the data source. Verifying for data integrity. </t>
  </si>
  <si>
    <t>What is the timeframe for measuring sucess?</t>
  </si>
  <si>
    <t xml:space="preserve">Semester, Monthly, weekly, Block, etc. </t>
  </si>
  <si>
    <t xml:space="preserve">This is to understand how often their work would yield results and what progress looks like within that timeframe. </t>
  </si>
  <si>
    <t>Operational Outcomes</t>
  </si>
  <si>
    <t>Student  Outcomes</t>
  </si>
  <si>
    <t>Speed</t>
  </si>
  <si>
    <t>Quality</t>
  </si>
  <si>
    <t>Cost</t>
  </si>
  <si>
    <t>Student Autonomy</t>
  </si>
  <si>
    <t>Student Satisfaction</t>
  </si>
  <si>
    <t>Completion</t>
  </si>
  <si>
    <t>Definition</t>
  </si>
  <si>
    <t>Operations are executed  with promptness in order to maximize efficiency and satisfaction.</t>
  </si>
  <si>
    <t>Operations are conducted at a high rate of quality, maximizing satisfaction.</t>
  </si>
  <si>
    <t>Operations reduce and control costs, allowing for efficiency and scalability of services.</t>
  </si>
  <si>
    <t>The proportion of students not needing help from the home office in order to navigate the student experience.</t>
  </si>
  <si>
    <t>Student levels of satisfaction with their services experience--coupled with autonomy, students are delighted with their service experience without needing help from the home office.</t>
  </si>
  <si>
    <t>The proportion of students retained and completing a credential.</t>
  </si>
  <si>
    <t>Examples</t>
  </si>
  <si>
    <t>Resolution rate
Completion time
Response time
Processing time</t>
  </si>
  <si>
    <t>QA measures
Accuracy
Number of bugs or issues
Process C-Sat
1st contact resolution
Throughput rate
Usage rate</t>
  </si>
  <si>
    <t>Wages
Contractual services budget
Compute costs
Licenses
ITD/ITS
Costs per [unit of measure]</t>
  </si>
  <si>
    <t>What proportion of students submits an issue or process ticket for your services each term/year?</t>
  </si>
  <si>
    <t>Surveys or other forms of objective feedback indicating C-Sat with your specific services.
Also consider other clients' satisfaction, as applicable.</t>
  </si>
  <si>
    <t>Application funnel
Retention
C1 Completion</t>
  </si>
  <si>
    <t>What are the most important operational outcomes this role is responsible for?</t>
  </si>
  <si>
    <t>This question seeks to help you both establish a clear objective for the role.</t>
  </si>
  <si>
    <t>As these are established, begin assigning them among the Operational and Student Outcomes</t>
  </si>
  <si>
    <t>How does this role impact the 3 imperitives of Student Services? (Autonomy, Satisfaction, Completion)</t>
  </si>
  <si>
    <t xml:space="preserve">Understanding this help guide which categories are most appropriate for setting KPIs. </t>
  </si>
  <si>
    <t xml:space="preserve">Does this role support the organization in providing critical services? </t>
  </si>
  <si>
    <t xml:space="preserve">If a role contributes to a critical services, it is important to ensure those things are measured by their KPIs. </t>
  </si>
  <si>
    <t xml:space="preserve">Critical services' are the services which every university must provide as a tertiary institution. Not every role does contribute to critical services, but if they do then it is good to have this in mind for setting KPIs. </t>
  </si>
  <si>
    <t xml:space="preserve">The aim here is to visualize what success looks like for the role and identify what can be quantified. </t>
  </si>
  <si>
    <t>Employee Information</t>
  </si>
  <si>
    <t>Student Outcomes</t>
  </si>
  <si>
    <t>Employee Name</t>
  </si>
  <si>
    <t>Role</t>
  </si>
  <si>
    <t>Employment Status</t>
  </si>
  <si>
    <t>Stewardship</t>
  </si>
  <si>
    <t>Steven K. Thomas</t>
  </si>
  <si>
    <t>Dean of Students</t>
  </si>
  <si>
    <t>FTE</t>
  </si>
  <si>
    <t>&gt; Dean of Students office oversight
&gt; Title IX coordintor, ADA/Section 504 coordinator</t>
  </si>
  <si>
    <t>No material audit findings attributable to Dean of Students governance
No legal findings attributable to Dean of Students governance
No accreditation findings attributable to Dean of Students governance</t>
  </si>
  <si>
    <t>Annual DOS budget</t>
  </si>
  <si>
    <t>Overall student satisfaction (primary)</t>
  </si>
  <si>
    <t>Anne Marie Clark</t>
  </si>
  <si>
    <t>Associate Dean of Students</t>
  </si>
  <si>
    <t>&gt; DOS operational lead
&gt; Deputy Title IX and ADA/Section 504 coordinator</t>
  </si>
  <si>
    <t>Dean of Students response time
Dean of Students resolution time</t>
  </si>
  <si>
    <t>Dean of Students services escalation rates
Partner C-Sat</t>
  </si>
  <si>
    <t>Katelyn Ray</t>
  </si>
  <si>
    <t>Student Honor &amp; Conduct Coordinator</t>
  </si>
  <si>
    <t>&gt; CES Honor Code
&gt; Student conduct</t>
  </si>
  <si>
    <t>Honor and Conduct response time
Honor and Conduct resolution time</t>
  </si>
  <si>
    <t>Rate of repeat offenders</t>
  </si>
  <si>
    <t>Ana De Castro</t>
  </si>
  <si>
    <t>Student Belonging Coordinator</t>
  </si>
  <si>
    <t>&gt; Non-Discrimination
&gt; Student belonging</t>
  </si>
  <si>
    <t>Discrimination resolution rate 
Student sentiment on belonging
CSAT for Student Belonging</t>
  </si>
  <si>
    <t>Sandra Wurttele</t>
  </si>
  <si>
    <t>Student Accessibility Coordinator</t>
  </si>
  <si>
    <t>Contractor</t>
  </si>
  <si>
    <t>&gt; Deputy ADA/Section 504 coordinator</t>
  </si>
  <si>
    <t>Accommodation determination processing rate
Accommodation resolution rate</t>
  </si>
  <si>
    <t>ADA and Section 504 standard compliance rate
ADA and Section 504 Audit compliance rate</t>
  </si>
  <si>
    <t>Helen Reboucas</t>
  </si>
  <si>
    <t>Student Grievance Coordinator</t>
  </si>
  <si>
    <t>&gt; Student grievances</t>
  </si>
  <si>
    <t>Student grievance case resolution time</t>
  </si>
  <si>
    <t>Grievance QA</t>
  </si>
  <si>
    <t>Joseph Bentum</t>
  </si>
  <si>
    <t>Student Crisis Coordinator</t>
  </si>
  <si>
    <t>&gt; Students-in-Crisis
&gt; High-need case monitoring</t>
  </si>
  <si>
    <t>Crisis response time</t>
  </si>
  <si>
    <t xml:space="preserve">Employee Information </t>
  </si>
  <si>
    <t xml:space="preserve">Employee Name </t>
  </si>
  <si>
    <t xml:space="preserve">Role </t>
  </si>
  <si>
    <t>Jacob Adams</t>
  </si>
  <si>
    <t xml:space="preserve">Director of Digital Operations </t>
  </si>
  <si>
    <t>&gt; Digital operations oversight
&gt; Application and implementation of emerging technologies
&gt; Strategy for Power BI, machine learning, agentic AI, and Companion teams
&gt; UX evaluation &amp; impact review</t>
  </si>
  <si>
    <t>Overall Stakeholder CSAT</t>
  </si>
  <si>
    <t>Digital Ops budget
Costs saved by customers due to Digital Ops technologies (secondary)</t>
  </si>
  <si>
    <t>Overall student autonomy (secondary)</t>
  </si>
  <si>
    <t>Overall student satisfaction (secondary)</t>
  </si>
  <si>
    <t>Application Rate
Retention Rate
Completion Rate (Secondary)</t>
  </si>
  <si>
    <t>Ricky Kailiponi Jr.</t>
  </si>
  <si>
    <t>Senior Manager of Digital Ops</t>
  </si>
  <si>
    <t xml:space="preserve">FTE </t>
  </si>
  <si>
    <t>&gt; Business Partner collaboration
&gt; Architect &amp; Engineer engagement (IT/ICS)
&gt; Development &amp; QA lead
&gt; AI Compliance &amp; advancement</t>
  </si>
  <si>
    <t>Team meeting project deadlines rate</t>
  </si>
  <si>
    <t>Companion feature C-Sat</t>
  </si>
  <si>
    <t>Companion usage rates</t>
  </si>
  <si>
    <t>Companion C-Sat</t>
  </si>
  <si>
    <t>AI retention effect</t>
  </si>
  <si>
    <t>Joshua Stafford Hadden</t>
  </si>
  <si>
    <t>Operational Research &amp; Reporting Manager</t>
  </si>
  <si>
    <t>&gt; Registrar business solutions
&gt; Operational data &amp; reporting
&gt; SIS support &amp; configuration</t>
  </si>
  <si>
    <t>Team meeting project timelines rate</t>
  </si>
  <si>
    <t>Stakeholder CSAT on team's projects</t>
  </si>
  <si>
    <t>Cost reductions in service areas (secondary)</t>
  </si>
  <si>
    <t>David Peck</t>
  </si>
  <si>
    <t>Operational Data Analyst</t>
  </si>
  <si>
    <t>&gt; Power BI report management &amp; refresh</t>
  </si>
  <si>
    <t>Project delivery on time rate</t>
  </si>
  <si>
    <t>Stakeholder CSAT - communication, quality of work, impact</t>
  </si>
  <si>
    <t>Pelenatita Neiufi</t>
  </si>
  <si>
    <t xml:space="preserve">Reporting &amp; Evaluation Coordinator </t>
  </si>
  <si>
    <t>&gt; NSC &amp; Enrollment reporting (BYUI &amp; EC)
&gt; Student record updates (Demographics, SSN)
&gt; Qualitative research</t>
  </si>
  <si>
    <t>Victor Lamôni Calado Ferreira</t>
  </si>
  <si>
    <r>
      <t xml:space="preserve">System &amp; Operations Associate Registrar
</t>
    </r>
    <r>
      <rPr>
        <b/>
        <sz val="11"/>
        <color rgb="FFFF0000"/>
        <rFont val="Aptos Narrow (Body)"/>
      </rPr>
      <t>(title change)</t>
    </r>
  </si>
  <si>
    <t>&gt; Registrar services for MLP students</t>
  </si>
  <si>
    <t>John Ayinde</t>
  </si>
  <si>
    <t>D365 &amp; Automation Manager</t>
  </si>
  <si>
    <t xml:space="preserve">Contractor </t>
  </si>
  <si>
    <t xml:space="preserve">&gt; Mentor Portal 
&gt; Predictive Model Data Pipeline </t>
  </si>
  <si>
    <t>Stakeholder CSAT - timeliness per project</t>
  </si>
  <si>
    <t>Samuel Riveros</t>
  </si>
  <si>
    <t>Companion &amp; Special Projects Manager</t>
  </si>
  <si>
    <t>&gt; Companion Front-End Stability &amp; Usability
&gt; Companion–Analytics Engine Integration</t>
  </si>
  <si>
    <t xml:space="preserve">Aitana Toscano </t>
  </si>
  <si>
    <t>Data Manager</t>
  </si>
  <si>
    <t>&gt; Power BI reporting lead
&gt; Backend Data stability &amp; cleaning</t>
  </si>
  <si>
    <t>Isaias Zuñiga</t>
  </si>
  <si>
    <t>AI Manager</t>
  </si>
  <si>
    <t xml:space="preserve">&gt; AI/ML Architecture development
&gt; Data Model development
&gt; Azure Board, GitHub, &amp; DevOps Pipeline management
</t>
  </si>
  <si>
    <t>Alison Cundiff</t>
  </si>
  <si>
    <t>Director of Enrollment &amp; Retention</t>
  </si>
  <si>
    <t>&gt; Enrollment services &amp; mentoring oversight
&gt; Student retention and completion</t>
  </si>
  <si>
    <t>Enrollment &amp; Retention budget</t>
  </si>
  <si>
    <t>Enrollment, retention, completion (primary)</t>
  </si>
  <si>
    <t>Katelyn Graf</t>
  </si>
  <si>
    <t>Senior Manager of Retention</t>
  </si>
  <si>
    <t>&gt; Retention performance and execution lead
&gt; Mentoring performance, strategy, and innovation</t>
  </si>
  <si>
    <t xml:space="preserve">PC Completion Rate
First Certificate Completion Rate </t>
  </si>
  <si>
    <t>Kelley Richardson</t>
  </si>
  <si>
    <t>Mentoring Manager</t>
  </si>
  <si>
    <t>&gt; Mentoring program lead</t>
  </si>
  <si>
    <t>Mentor required action completion rate</t>
  </si>
  <si>
    <t xml:space="preserve">Mentor interaction QA </t>
  </si>
  <si>
    <t>Mentor CSAT</t>
  </si>
  <si>
    <t>Retention rate contribution by mentors</t>
  </si>
  <si>
    <t>Mandy Schwab</t>
  </si>
  <si>
    <t>Mentoring Content Coordinator</t>
  </si>
  <si>
    <t>Full-Time Contractor</t>
  </si>
  <si>
    <t xml:space="preserve">&gt; Mentoring program development </t>
  </si>
  <si>
    <t xml:space="preserve">Mentor interaction QA 
</t>
  </si>
  <si>
    <t>Joanna Relkin </t>
  </si>
  <si>
    <t>Mentor Operations Coordinator</t>
  </si>
  <si>
    <t xml:space="preserve">&gt; Mentoring program operations </t>
  </si>
  <si>
    <t>Mentor concern case QA</t>
  </si>
  <si>
    <t>Trevor Shelton</t>
  </si>
  <si>
    <t>Senior Manager of Enrollment Services</t>
  </si>
  <si>
    <t>&gt; Enrollment services lead
&gt; Enrollment funnel performance, strategy, and innovation</t>
  </si>
  <si>
    <t>Reduction of enrollment related support cases
Reduction of admissions tier 2 support cases</t>
  </si>
  <si>
    <t xml:space="preserve">Application start to admission yield
Admission to registration yield
Registration to auto-drop yield
</t>
  </si>
  <si>
    <t>Rachel Kirk</t>
  </si>
  <si>
    <t>Enrollment Counseling Manager</t>
  </si>
  <si>
    <t>&gt; Enrollment Counseling program lead</t>
  </si>
  <si>
    <t>Enrollment Counseling required action completion rate
Enrollment Counseling contact rate by alert</t>
  </si>
  <si>
    <t>Enrollment Counseling CSAT rate
Enrollment Counseling yield contribution</t>
  </si>
  <si>
    <t>Kimarie Howard</t>
  </si>
  <si>
    <t>Enrollment Counseling Development and Performance Coordinator</t>
  </si>
  <si>
    <t>&gt; Enrollment Counseling development and performance</t>
  </si>
  <si>
    <t>Megan Niblett </t>
  </si>
  <si>
    <t>Enrollment Counseling Operations Coordinator</t>
  </si>
  <si>
    <t xml:space="preserve">&gt; Enrollment Counseling operations </t>
  </si>
  <si>
    <t>Shaunasee Janette James</t>
  </si>
  <si>
    <t xml:space="preserve">Enrollment Coordinator </t>
  </si>
  <si>
    <t>&gt; Transfer evaluation 
&gt; Ecclesiastical endorsement 
&gt; Chaplain partnership</t>
  </si>
  <si>
    <t>Transfer evaluation processing rate 
Transfer evaluation case resolution rate</t>
  </si>
  <si>
    <t xml:space="preserve">Number of transfer evaluation cases
</t>
  </si>
  <si>
    <t>Ely Zmolek</t>
  </si>
  <si>
    <t xml:space="preserve">Enrollment Services Specialist </t>
  </si>
  <si>
    <t xml:space="preserve">&gt; Application processing
&gt; Admissons exceptions 
&gt; Admissions systems </t>
  </si>
  <si>
    <t>Application processing rate
Application manual review turnaround rate</t>
  </si>
  <si>
    <t xml:space="preserve">Number of admissions support cases
Admissions case resolution rate </t>
  </si>
  <si>
    <t>University Chaplain</t>
  </si>
  <si>
    <t xml:space="preserve">&gt; Ecclesiastical endorsements for non-member students </t>
  </si>
  <si>
    <t>Non-member endorsement completion rate</t>
  </si>
  <si>
    <t>Number of support cases with non-member endorsement concerns</t>
  </si>
  <si>
    <t>Name</t>
  </si>
  <si>
    <t>Mark Gefrom</t>
  </si>
  <si>
    <t>Director of Student Support</t>
  </si>
  <si>
    <t>&gt; Registrar, student support, Tech support oversight
&gt; Help center
&gt; Customer relations systems 
&gt; Case systems</t>
  </si>
  <si>
    <t>Teams meeting or exceeding response service-level agreements
Teams meeting or exceeding resolution service-level agreements</t>
  </si>
  <si>
    <t>Teams meeting QA service-level agreements
Teams meeting CSAT service-level agreements
Teams meeting first contact resolution service-level agreements</t>
  </si>
  <si>
    <t>Student records, registration, and support department budget</t>
  </si>
  <si>
    <t>Overall student autonomy (primary)</t>
  </si>
  <si>
    <t>Brad Lester</t>
  </si>
  <si>
    <t xml:space="preserve">Senior Manager of Student Support </t>
  </si>
  <si>
    <t>&gt; Inbound student support lead
&gt; Academic advising program</t>
  </si>
  <si>
    <t>Student support budget</t>
  </si>
  <si>
    <t xml:space="preserve">Autonomy rate for student support cases </t>
  </si>
  <si>
    <t>Alyssa Burrell</t>
  </si>
  <si>
    <t>Student Support Coordinator</t>
  </si>
  <si>
    <t>&gt; Phone support 
&gt; General support</t>
  </si>
  <si>
    <t>General support case response rate
General support case resolution rate
Phone answer speed
Phone handle rate
Agent availability</t>
  </si>
  <si>
    <t xml:space="preserve">Phone support QA 
Phone support CSAT 
Phone support first contact resolution 
</t>
  </si>
  <si>
    <t>Hilary Bagley</t>
  </si>
  <si>
    <t>Training &amp; Quality Assurance Manager</t>
  </si>
  <si>
    <t>&gt; Training, area collaboration, &amp; partner communication
&gt; Media &amp; Knowledge Base development
&gt; Student Support content accuracy
&gt; Student journey mapping</t>
  </si>
  <si>
    <t xml:space="preserve">Request-to-KB publish rate
QA feedback cycle rate </t>
  </si>
  <si>
    <t>QA calibration consistency rate
Knowledge Base audit pass rate
QA team lead feedback success rate</t>
  </si>
  <si>
    <t>Cost per QA Evaluation ($ per Evaluation)
Cost per KB Article Maintained ($ per Article Updated or Audited)</t>
  </si>
  <si>
    <t>Kira Hayes</t>
  </si>
  <si>
    <t>Training &amp; Quality Assurance Coordinator</t>
  </si>
  <si>
    <t>&gt; caseing QA
&gt; External Knowledge Base articles
&gt; Support agent onboarding and training</t>
  </si>
  <si>
    <t>KB publishing rate</t>
  </si>
  <si>
    <t>QA evaluation completion rate
DSAT and critical violation delivery rate</t>
  </si>
  <si>
    <t>Matthew Smith</t>
  </si>
  <si>
    <t>Technical Support Manager</t>
  </si>
  <si>
    <t>&gt; Inbound tech support lead</t>
  </si>
  <si>
    <t>Tech support case resolution rate</t>
  </si>
  <si>
    <t>Tech support costs</t>
  </si>
  <si>
    <t>Autonomy rate for tech support cases</t>
  </si>
  <si>
    <t>Colby Warner</t>
  </si>
  <si>
    <t xml:space="preserve">Product Support Engineer </t>
  </si>
  <si>
    <t>&gt; Tech support troubleshooting &amp; resolution</t>
  </si>
  <si>
    <t xml:space="preserve">Escalated case resolution rate
</t>
  </si>
  <si>
    <t>Tech Support case QA 
Tech Support case CSAT
Tech Support case first contract resolution</t>
  </si>
  <si>
    <t>Kari Johnson</t>
  </si>
  <si>
    <t>Registrar</t>
  </si>
  <si>
    <t xml:space="preserve">&gt; Registration and Records lead
&gt; Academic record maintenance
&gt; Block/Term system and catalog data publishing </t>
  </si>
  <si>
    <t>Registrar budget</t>
  </si>
  <si>
    <t>Autonomy for registrar processes
Autonomy for registrar cases</t>
  </si>
  <si>
    <t>Case CSAT for planning and registration</t>
  </si>
  <si>
    <t>Kim Overdiek</t>
  </si>
  <si>
    <t>Associate Registrar</t>
  </si>
  <si>
    <t>&gt; Policies &amp; processes
&gt; Curriculum/catalog maintenance 
&gt; Academic planning system configuration
&gt; Course registration process</t>
  </si>
  <si>
    <t>Process case resolution rate
On-time catalog publishing rate
On-time system configuration rate</t>
  </si>
  <si>
    <t xml:space="preserve">Process case QA 
Process case CSAT </t>
  </si>
  <si>
    <t>Tyson Bell</t>
  </si>
  <si>
    <t>&gt; Student records
&gt;Transcripts
&gt;Graduation
&gt;Enrollment verification</t>
  </si>
  <si>
    <t>Records case resolution rate</t>
  </si>
  <si>
    <t xml:space="preserve">Records case QA
Records case CSAT </t>
  </si>
  <si>
    <t>Angie Holt</t>
  </si>
  <si>
    <t>Graduation Coordinator</t>
  </si>
  <si>
    <t>&gt; Graduation application
&gt; Diploma awarding process</t>
  </si>
  <si>
    <t>Graduation application case completion rate
Award processing rate</t>
  </si>
  <si>
    <t xml:space="preserve">Number of Rescinded Degrees
Application QA 
Awarding QA </t>
  </si>
  <si>
    <t>Anne E. Owen</t>
  </si>
  <si>
    <t xml:space="preserve">Records &amp; Transcript Coordinator </t>
  </si>
  <si>
    <t>&gt; Grade changes
&gt; Academic exceptions
&gt; Transcript requests</t>
  </si>
  <si>
    <t>Process case completion rate</t>
  </si>
  <si>
    <t xml:space="preserve">Process case CSAT
Process case QA 
Transcript accuracy QA </t>
  </si>
  <si>
    <t>Cindi C Putnam</t>
  </si>
  <si>
    <t xml:space="preserve">Planning Coordinator </t>
  </si>
  <si>
    <t>&gt; Degree progress audit corrections</t>
  </si>
  <si>
    <t>Degree planning escalation case resolution rate</t>
  </si>
  <si>
    <t xml:space="preserve">Degree planning escalation case CSAT 
Degree planning escalation case QA </t>
  </si>
  <si>
    <t>Nikki Jane Chambers</t>
  </si>
  <si>
    <t xml:space="preserve">Enrollment Verification Specialist </t>
  </si>
  <si>
    <t>FTT</t>
  </si>
  <si>
    <r>
      <rPr>
        <b/>
        <sz val="11"/>
        <color rgb="FFCC9A02"/>
        <rFont val="Aptos Narrow"/>
        <family val="2"/>
        <scheme val="minor"/>
      </rPr>
      <t xml:space="preserve">&gt; Enrollment verification 
&gt; </t>
    </r>
    <r>
      <rPr>
        <b/>
        <sz val="11"/>
        <color rgb="FFCC9A02"/>
        <rFont val="Aptos Narrow"/>
        <family val="2"/>
      </rPr>
      <t xml:space="preserve">Partner transfer evaluation
</t>
    </r>
    <r>
      <rPr>
        <b/>
        <sz val="11"/>
        <color rgb="FFCC9A02"/>
        <rFont val="Aptos Narrow"/>
        <family val="2"/>
        <scheme val="minor"/>
      </rPr>
      <t xml:space="preserve">&gt; Apostilles
</t>
    </r>
    <r>
      <rPr>
        <b/>
        <sz val="11"/>
        <color rgb="FFCC9A02"/>
        <rFont val="Aptos Narrow"/>
        <family val="2"/>
      </rPr>
      <t>&gt; Student verification letters</t>
    </r>
  </si>
  <si>
    <t>Enrollment verification completion rate
Apostille completion rate</t>
  </si>
  <si>
    <t>Enrollment verification QA
Apostille QA 
Enrollment verification CSAT
Apostille C-Sat</t>
  </si>
  <si>
    <t>Daniel Zago</t>
  </si>
  <si>
    <t>Registration Specialist</t>
  </si>
  <si>
    <t>&gt; Registration user testing
&gt; Registration support
&gt; Manual registration projects</t>
  </si>
  <si>
    <t>Registration issue case resolution rate</t>
  </si>
  <si>
    <t xml:space="preserve">Registration issue case QA
Registration issue case CSAT </t>
  </si>
  <si>
    <t>Student support case response rates
Student support case resolution rates</t>
  </si>
  <si>
    <t>Student support QA
Student support CSAT
Student support first contact resolution</t>
  </si>
  <si>
    <t>General support case response rate
General support case resolution rate
Phone answer Speed
Phone handle rate
Agent availability</t>
  </si>
  <si>
    <t xml:space="preserve">Phone support QA 
Phone support CSAT 
Phone upport first contanct resolution 
</t>
  </si>
  <si>
    <t>Phone support costs</t>
  </si>
  <si>
    <t>QA Team Costs
Knowledge Base (KB) Team Costs</t>
  </si>
  <si>
    <t xml:space="preserve">Escalated case resolution rate
Tech support case response rate
</t>
  </si>
  <si>
    <t>Registrar process resolution rate
Registrar case resolution rate</t>
  </si>
  <si>
    <t>CSAT for registrar processes
CSAT for registrar cases</t>
  </si>
  <si>
    <t>Case C-Sat for planning and registration</t>
  </si>
  <si>
    <t>Process case QA 
Process case CSAT Score</t>
  </si>
  <si>
    <t>Planning and registration team costs</t>
  </si>
  <si>
    <t>Records team costs</t>
  </si>
  <si>
    <t>Geraldine Susan Bean</t>
  </si>
  <si>
    <t>Graduation team costs</t>
  </si>
  <si>
    <t xml:space="preserve">Process case CSAT
Process case QA 
Transcript Accuracy QA </t>
  </si>
  <si>
    <t xml:space="preserve">Process team costs </t>
  </si>
  <si>
    <t>Degree Planning Escalation case CSAT Score
Degree Planning Escalation case QA Score</t>
  </si>
  <si>
    <t>Degree planning team costs</t>
  </si>
  <si>
    <t>Enrollment verification team costs</t>
  </si>
  <si>
    <t xml:space="preserve">Angie Holt </t>
  </si>
  <si>
    <t>Registration team costs</t>
  </si>
  <si>
    <t>Department</t>
  </si>
  <si>
    <t>Scheduling</t>
  </si>
  <si>
    <t>Key Responsibilities</t>
  </si>
  <si>
    <t>Current Projects (If Any)</t>
  </si>
  <si>
    <t>Conditions for Success</t>
  </si>
  <si>
    <t>Current KPIs</t>
  </si>
  <si>
    <t>Suggested KPIs</t>
  </si>
  <si>
    <t>Data Source</t>
  </si>
  <si>
    <t>Timeframe</t>
  </si>
  <si>
    <t>Ben's Thought</t>
  </si>
  <si>
    <t>DOS</t>
  </si>
  <si>
    <t>Complete</t>
  </si>
  <si>
    <t>&gt; Provide executive-level and strategic leadership for all six DOS Office service areas (Student Honor &amp; Conduct; Accessibility; Belonging; Grievances; Sexual Misconduct/Title IX; Students in Crisis).
&gt; Title IX Coordinator and ADA/Sec. 504 Coordinator for the institution.
&gt; Set vision, strategic direction, and institutional alignment for the DOS Office across BYU-Pathway Worldwide’s global student body.
&gt; Lead policy development, cross-institutional coordination, and executive-level stakeholder collaboration (BYU-Idaho, Ensign College, ICS/IT, GEO, Digital Ops, etc.).
&gt; Oversee crisis-response strategy, including escalation frameworks, global monitoring, partner communication pathways, and institutional student-safety protocols.
&gt; Direct development and implementation of DOS Office reporting dashboards, analytics tools, and annual reports.
&gt; Steward DOS Office staffing, operational budget, contractor strategy, and technological modernization initiatives.
&gt; Represent the DOS Office in executive councils, SSEC, cross-institutional committees, accreditation-related efforts, and Student Success imperatives.</t>
  </si>
  <si>
    <t>&gt; Student Crisis Portfolio development
&gt; Multi-Language Program (MLP) DOS Office implementation roadmap
&gt; DOS Partner Resource Portal (policies, workflows, referral processes)
&gt; DOS Office Annual Report design and launch (impact, case data, findings, predictive insights)
&gt; Technological innovation initiatives supported by ITD funding
&gt; Companion App feature expansion across all six services areas (Accessibility workflows, case intake, etc.).
&gt; Executive Secretary/Project Manager onboarding and integration
&gt; Data standardization with Digital Ops (DOS Office Power BI Dashboard)</t>
  </si>
  <si>
    <t>&gt; DOS Office processes standardized globally with clear escalation pathways
&gt; Accurate, timely DOS Office dashboards for all six service areas
&gt; Strong cross-institutional alignment with partner schools and internal departments
&gt; Student trust and case-resolution consistency across regions
&gt; Effective utilization of Digital Ops, Springboard teams, and contractor talent
&gt; Documented, scalable procedures usable at 190+ country scale</t>
  </si>
  <si>
    <t>&gt; Successful decoupling from partner institutions across all six DOS Office service areas.</t>
  </si>
  <si>
    <r>
      <rPr>
        <b/>
        <sz val="11"/>
        <color rgb="FF000000"/>
        <rFont val="Aptos Narrow"/>
        <family val="2"/>
        <scheme val="minor"/>
      </rPr>
      <t xml:space="preserve">High-Level Strategic / Executive Focus
1. Operational Clarity &amp; Scalability
</t>
    </r>
    <r>
      <rPr>
        <sz val="11"/>
        <color rgb="FF000000"/>
        <rFont val="Aptos Narrow"/>
        <family val="2"/>
        <scheme val="minor"/>
      </rPr>
      <t xml:space="preserve">• Complete DOS Office Position Descriptions, Success Measures, and full process documentation across all six service areas.
• Finalize succession plans for critical roles.
• Validate and deliver scalability plans to support future growth to 1 million students.
</t>
    </r>
    <r>
      <rPr>
        <b/>
        <sz val="11"/>
        <color rgb="FF000000"/>
        <rFont val="Aptos Narrow"/>
        <family val="2"/>
        <scheme val="minor"/>
      </rPr>
      <t xml:space="preserve">2. Stakeholder &amp; Student Satisfaction
</t>
    </r>
    <r>
      <rPr>
        <sz val="11"/>
        <color rgb="FF000000"/>
        <rFont val="Aptos Narrow"/>
        <family val="2"/>
        <scheme val="minor"/>
      </rPr>
      <t xml:space="preserve">• Implement quarterly CSAT surveys for internal and external partners.
• Launch post-interaction student CSAT surveys across service areas and integrate results into dashboards.
• Demonstrate measurable increases in partner trust and clarity with DOS processes.
</t>
    </r>
    <r>
      <rPr>
        <b/>
        <sz val="11"/>
        <color rgb="FF000000"/>
        <rFont val="Aptos Narrow"/>
        <family val="2"/>
        <scheme val="minor"/>
      </rPr>
      <t xml:space="preserve">3. Cross-Institutional Collaboration &amp; Alignment
</t>
    </r>
    <r>
      <rPr>
        <sz val="11"/>
        <color rgb="FF000000"/>
        <rFont val="Aptos Narrow"/>
        <family val="2"/>
        <scheme val="minor"/>
      </rPr>
      <t xml:space="preserve">• Ensure DOS-chaired committees produce documented outcomes and alignment with partner institutions.
• Strengthen year-round collaboration and communication with institutional partners.
• Improve system health and reduce friction across shared processes.
</t>
    </r>
    <r>
      <rPr>
        <b/>
        <sz val="11"/>
        <color rgb="FF000000"/>
        <rFont val="Aptos Narrow"/>
        <family val="2"/>
        <scheme val="minor"/>
      </rPr>
      <t xml:space="preserve">4. High-Quality, Scalable Performance
</t>
    </r>
    <r>
      <rPr>
        <sz val="11"/>
        <color rgb="FF000000"/>
        <rFont val="Aptos Narrow"/>
        <family val="2"/>
        <scheme val="minor"/>
      </rPr>
      <t xml:space="preserve">• Achieve student satisfaction with DOS services at or above 80%.
• Resolve 90%+ of DOS tickets within 5 days (excluding Title IX/Sexual Misconduct timelines).
• Demonstrate dashboard readiness and data accuracy for all service areas.
</t>
    </r>
    <r>
      <rPr>
        <b/>
        <sz val="11"/>
        <color rgb="FF000000"/>
        <rFont val="Aptos Narrow"/>
        <family val="2"/>
        <scheme val="minor"/>
      </rPr>
      <t xml:space="preserve">5. Retention &amp; Completion Impact
</t>
    </r>
    <r>
      <rPr>
        <sz val="11"/>
        <color rgb="FF000000"/>
        <rFont val="Aptos Narrow"/>
        <family val="2"/>
        <scheme val="minor"/>
      </rPr>
      <t>• Establish realistic retention and completion benchmarks for students who receive DOS Office services.</t>
    </r>
  </si>
  <si>
    <t>&gt; Power BI dashboards (DOS service areas)
&gt; Adobe Analytics (student behavior and case-flow insights)
&gt; Digital Ops data pipelines
&gt; Crisis monitoring systems and global intelligence feeds
&gt; Companion App and REACH/CRM case records</t>
  </si>
  <si>
    <t>Ongoing – Block, Quarterly, and Annual Reporting Cycles</t>
  </si>
  <si>
    <t>&gt; Provide operational leadership and oversight for DOS Office teams and service areas.
&gt; Deputy Title IX Coordinator and Duputy ADA/Sec. 504 Coordinator for the institution.
&gt; Lead day-to-day coordination of policies, case management practices, instructor support workflows, and DOS Office procedural alignment.
&gt; Ensure consistency and accuracy in case handling, documentation, student communication, and compliance across all six service areas.
&gt; Oversee cross-departmental coordination with Enrollment Counseling, Mentoring, Support &amp; Services, and Digital Ops.
&gt; Support implementation of DOS dashboards, data-cleaning initiatives, and service-area reporting.
&gt; Manage sensitive and escalated student cases; provide counsel to internal partners and managers.
&gt; Lead workforce training for policies, referral workflows, and crisis-scenario readiness.
&gt; Support development of the DOS Partner Resource Portal and Annual DOS Office Report.</t>
  </si>
  <si>
    <t>&gt; DOS Office case-practice standardization and documentation
&gt; Internal and partner-facing student crisis-response guidance and escalation pathways
&gt; DOS dashboards data-accuracy initiative with Digital Ops
&gt; Policies and workflow alignment for internal staff and partner instituitions
&gt; Support &amp; Services escalation improvement initiative
&gt; Annual DOS Office Report (data, narrative, outcomes)</t>
  </si>
  <si>
    <t>&gt; Clean, reliable, and consistently entered DOS Office data
&gt; Clear and documented processes for internal staff and external partners
&gt; Strengthened relationships with partner schools and internal stakeholders
&gt; Reduced student touchpoints and faster resolution timelines
&gt; Improved operational accuracy and consistency across case managers and coordinators</t>
  </si>
  <si>
    <t>&gt; Efficient and effective case resolution across all six DOS Office service areas.</t>
  </si>
  <si>
    <r>
      <rPr>
        <b/>
        <sz val="11"/>
        <color rgb="FF000000"/>
        <rFont val="Aptos Narrow"/>
        <family val="2"/>
        <scheme val="minor"/>
      </rPr>
      <t xml:space="preserve">Operational / Execution Focus
1. Process Fidelity &amp; Documentation
</t>
    </r>
    <r>
      <rPr>
        <sz val="11"/>
        <color rgb="FF000000"/>
        <rFont val="Aptos Narrow"/>
        <family val="2"/>
        <scheme val="minor"/>
      </rPr>
      <t xml:space="preserve">• Maintain service-area Standard Operational Procedures (SOPs), escalation guides, and workflow documentation.
• Achieve 100% implementation of updated processes within established timelines.
</t>
    </r>
    <r>
      <rPr>
        <b/>
        <sz val="11"/>
        <color rgb="FF000000"/>
        <rFont val="Aptos Narrow"/>
        <family val="2"/>
        <scheme val="minor"/>
      </rPr>
      <t xml:space="preserve">2. Case Quality &amp; Consistency
</t>
    </r>
    <r>
      <rPr>
        <sz val="11"/>
        <color rgb="FF000000"/>
        <rFont val="Aptos Narrow"/>
        <family val="2"/>
        <scheme val="minor"/>
      </rPr>
      <t xml:space="preserve">• Maintain 90%+ accuracy in case documentation and data entry.
• Reduce procedural errors and repeat student contacts.
• Ensure consistent adherence to policy and procedural standards.
</t>
    </r>
    <r>
      <rPr>
        <b/>
        <sz val="11"/>
        <color rgb="FF000000"/>
        <rFont val="Aptos Narrow"/>
        <family val="2"/>
        <scheme val="minor"/>
      </rPr>
      <t xml:space="preserve">3. Ticket Resolution &amp; Service Performance
</t>
    </r>
    <r>
      <rPr>
        <sz val="11"/>
        <color rgb="FF000000"/>
        <rFont val="Aptos Narrow"/>
        <family val="2"/>
        <scheme val="minor"/>
      </rPr>
      <t xml:space="preserve">• Resolve 85–90% of tickets within defined timelines (within 5 days for non-Title IX cases).
• Reduce Support &amp; Services delays impacting DOS cases.
</t>
    </r>
    <r>
      <rPr>
        <b/>
        <sz val="11"/>
        <color rgb="FF000000"/>
        <rFont val="Aptos Narrow"/>
        <family val="2"/>
        <scheme val="minor"/>
      </rPr>
      <t xml:space="preserve">4. Dashboard &amp; Data Reliability
</t>
    </r>
    <r>
      <rPr>
        <sz val="11"/>
        <color rgb="FF000000"/>
        <rFont val="Aptos Narrow"/>
        <family val="2"/>
        <scheme val="minor"/>
      </rPr>
      <t xml:space="preserve">• Conduct weekly data-quality verification (accuracy, completeness, consistency).
• Meet dashboard-readiness milestones in partnership with Digital Ops.
</t>
    </r>
    <r>
      <rPr>
        <b/>
        <sz val="11"/>
        <color rgb="FF000000"/>
        <rFont val="Aptos Narrow"/>
        <family val="2"/>
        <scheme val="minor"/>
      </rPr>
      <t xml:space="preserve">5. Stakeholder Communication &amp; Alignment
</t>
    </r>
    <r>
      <rPr>
        <sz val="11"/>
        <color rgb="FF000000"/>
        <rFont val="Aptos Narrow"/>
        <family val="2"/>
        <scheme val="minor"/>
      </rPr>
      <t xml:space="preserve">• Maintain positive feedback from Instructors, GEO, Communications, and partner institutions.
• Deliver quarterly updates to partner institutions and cross-departmental teams on schedule.
</t>
    </r>
    <r>
      <rPr>
        <b/>
        <sz val="11"/>
        <color rgb="FF000000"/>
        <rFont val="Aptos Narrow"/>
        <family val="2"/>
        <scheme val="minor"/>
      </rPr>
      <t xml:space="preserve">6. Training &amp; Readiness
</t>
    </r>
    <r>
      <rPr>
        <sz val="11"/>
        <color rgb="FF000000"/>
        <rFont val="Aptos Narrow"/>
        <family val="2"/>
        <scheme val="minor"/>
      </rPr>
      <t xml:space="preserve">• Ensure 100% of instructors, mentors, internal staff, and partners are trained in revised escalation and crisis-response processes.
• Improve partner understanding of DOS procedures as reflected in CSAT and quarterly reviews.
</t>
    </r>
    <r>
      <rPr>
        <b/>
        <sz val="11"/>
        <color rgb="FF000000"/>
        <rFont val="Aptos Narrow"/>
        <family val="2"/>
        <scheme val="minor"/>
      </rPr>
      <t xml:space="preserve">7. Student &amp; Partner Satisfaction Implementation
</t>
    </r>
    <r>
      <rPr>
        <sz val="11"/>
        <color rgb="FF000000"/>
        <rFont val="Aptos Narrow"/>
        <family val="2"/>
        <scheme val="minor"/>
      </rPr>
      <t>• Execute student and partner CSAT survey distribution.
• Monitor response trends and apply insights into operational improvements.</t>
    </r>
  </si>
  <si>
    <t>Student Honor &amp; Grievance Coordinator</t>
  </si>
  <si>
    <t>&gt; Place Holds on Student Accounts
&gt; Scheduled Phone calls with Disgruntled students
&gt; Grievances weekly team meeting
&gt; Enroll students in Academic Integrity Course
&gt; Coordination with BYU-I &amp; Ensign Honor Offices
&gt; DOS weekly team meeting
&gt; Compile data regarding trends for grievances for past week/month
&gt; Manage the Navigating Academic Honesty course on Canvas</t>
  </si>
  <si>
    <t>Student honor and conduct committee Co-chair
Adding AI section to Navigating Academic Honesty course on Canvas</t>
  </si>
  <si>
    <t>Tracks student honor violations and ensures that appropriate action is taken in each case to resolve the concern in accordance with our institution policies.
Ensure a strong relationship with BYU-I &amp; Ensign Honor Offices
Maintain open communication and strong relationship with instructional teams to streamline violation processing.</t>
  </si>
  <si>
    <t>Number of cases received - tracked
Number of repeat offender - tracked
Case age, 5 days or less - 90%</t>
  </si>
  <si>
    <t>CSAT - Students</t>
  </si>
  <si>
    <t>Weekly</t>
  </si>
  <si>
    <t>Enrollment &amp; Retention</t>
  </si>
  <si>
    <t>Pending - Extended to Friday Dec 5th</t>
  </si>
  <si>
    <t>&gt; Oversee the Enrollment Counselling and Mentoring teams:
&gt;&gt; 1:1s
&gt;&gt; Team meetings
&gt;&gt; Long-Term planning to meet Student Success and Organizational objectives
&gt; Oversee student throughput across the student journey/pipeline
&gt;&gt; Milestones
&gt;&gt; Dashboards
&gt;&gt; AI/Human intervention strategies
&gt; Report on progress in weekly 1:1 with the VP of Student Success.
&gt; Represent EC and Mentoring in daily, weekly, and monthly cross-functional meetings related to registration.
&gt; Prepare agendas and facilitate the Retention Council, various workgroup participation</t>
  </si>
  <si>
    <t>Retention Council (Chair)
Orientation, Analytics Engine Workgroup (Chair)
Enrollment &amp; Retention Suite dashboard project w/ Dallin
Milestone map project
EC3 Mentor exploration
CARE Committee (participant)
CES Student Success Committee (participant)
Companion Implementation Taskforce (participant)
Advising Committee (participant)</t>
  </si>
  <si>
    <t>Mentoring is functioning optimally, mentor role is clear, and students know how to reach their mentor.
Enrollment Counseling is functioning optimally, and that we have the right intervention model set up to increase yield rates from Application to Registration.
Teams have all the resources (access to data, systems) needed to perform their roles in a paced and effective way.
We are aligned across the organization on the primary persistence and retention measurements and are consistently making progress on them from term to term, year to year.</t>
  </si>
  <si>
    <t>EC RA completion 95% average
Mentor CSAT - 85% average
Mentor RA Implementation - 90% completion
Mentor Scorecard (Quality) - 85% average
PC Completion: 45%
C&amp;D 4-Term Retention: 55%
C1 Completion: 40%</t>
  </si>
  <si>
    <t>None</t>
  </si>
  <si>
    <t>&gt; https://app.fabric.microsoft.com/groups/4f9c84ba-b5d3-4eda-a86b-41fbb3b3bc4a/reports/d0f58bce-3a7d-49b6-80a3-eade14ab09fc/e3ff97a21eaacb03dbca?experience=fabric-developer&amp;clientSideAuth=0
&gt; https://app.powerbi.com/groups/me/reports/7177fab9-23b0-4184-8f31-f0db822282c0/ReportSection964c860de430a5035bab?ctid=61e6eeb3-5fd7-4aaa-ae3c-61e8deb09b79&amp;experience=power-bi
&gt; https://app.powerbi.com/groups/4f9c84ba-b5d3-4eda-a86b-41fbb3b3bc4a/reports/8b8c6aa8-361e-4ed7-8018-ac9b625ec004/51439a40d9bbc658cac9?experience=power-bi
&gt; https://app.powerbi.com/groups/4f9c84ba-b5d3-4eda-a86b-41fbb3b3bc4a/reports/e2b5b9d8-0b16-4185-9213-61b41d61c157/40663d76a0ae8a192407?experience=power-bi</t>
  </si>
  <si>
    <t>Weekly, Monthly, and By Term</t>
  </si>
  <si>
    <t>&gt; Supporting my team and escalating complicated issues (50%)
&gt; Cross-departmental collaboration (15%)
&gt; Planning targeted outreach (10%)
&gt; Monitoring enrollment counseling effectiveness/performance (10%)
&gt; Planning and Requesting optimization to our tools (5%)
&gt; Synthesize and present results of key initiatives and team performance to senior leadership (10%)</t>
  </si>
  <si>
    <t>New Student Orientation Workgroup</t>
  </si>
  <si>
    <t>Ensuring that the EC team is functioning effectively and supporting students
Planning RAs and outreach
Tracking tool efficacy and ensuring tool repair and updates</t>
  </si>
  <si>
    <t>RA completion 95% average</t>
  </si>
  <si>
    <t>EC CSAT 85% average - New metric being tracked</t>
  </si>
  <si>
    <t>&gt; https://app.fabric.microsoft.com/groups/4f9c84ba-b5d3-4eda-a86b-41fbb3b3bc4a/reports/d0f58bce-3a7d-49b6-80a3-eade14ab09fc/e3ff97a21eaacb03dbca?experience=fabric-developer&amp;clientSideAuth=0
&gt; https://app.powerbi.com/groups/me/reports/7177fab9-23b0-4184-8f31-f0db822282c0/ReportSection964c860de430a5035bab?ctid=61e6eeb3-5fd7-4aaa-ae3c-61e8deb09b79&amp;experience=power-bi</t>
  </si>
  <si>
    <t>&gt; Implement the Mentoring Strategy
&gt; CRM needs and adjustments
&gt; Oversee Mentor &amp; Evaluator training sessions
&gt; Supply guides and Required Action Implementation to standardize and inform Mentors regarding changes made and process updates.
&gt; Build and maintain the mentor scorecard model.
&gt; Implement and quality assure items in Mentoring such as Case Management and Mentor Interaction with students (timing, frequency, and quality).</t>
  </si>
  <si>
    <t>MLP Portuguese Pilot mentors
EC3 Project Pilot mentor update</t>
  </si>
  <si>
    <t>Mentoring strategy is being implemented successfully.
Mentors &amp; Evaluators trainings are provided to Springboard before new items are expected to be implemented.
Mentor guides &amp; RA guides are provided and updated as needed.
Mentor Evaluation updates are delivered regularly</t>
  </si>
  <si>
    <t>Mentor CSAT - 85% average
RA Implementation - 90% completion
Scorecard (Quality) - 85% average</t>
  </si>
  <si>
    <t>https://app.powerbi.com/groups/4f9c84ba-b5d3-4eda-a86b-41fbb3b3bc4a/reports/8b8c6aa8-361e-4ed7-8018-ac9b625ec004/51439a40d9bbc658cac9?experience=power-bi
https://app.powerbi.com/groups/4f9c84ba-b5d3-4eda-a86b-41fbb3b3bc4a/reports/e2b5b9d8-0b16-4185-9213-61b41d61c157/40663d76a0ae8a192407?experience=power-bi</t>
  </si>
  <si>
    <t>Weekly &amp; by Term</t>
  </si>
  <si>
    <t>Director of Digital Operations</t>
  </si>
  <si>
    <t>Digital Ops</t>
  </si>
  <si>
    <t>&gt; Strategic discernment of analytics engine (backend) and Companion/Mentor portal (frontend) feature alignment, development, and maintenance to scale to millions of students in multiple languages with the best of AI and human relationship-based intervention.
&gt; Daily/weekly scrum meetings with human role applications on behalf of students aligned with analytics engine with Companion, PowerBI, and machine learning and agentic AI teams.
&gt; Review non-linear and linear UX impacts and results.</t>
  </si>
  <si>
    <t>Digital Ops projects are progressing on time and completed project meet their requirements.
Stakeholder approval with high satisfaction.</t>
  </si>
  <si>
    <t>85% CSAT in Companion
100% uptime (0% P1s) with clear pro-active maintenance windows communicated to students and stakeholders
Each prompt/answer in Companion 98% QA accurate/relevant/ethical/accountable separated by feature (i.e. jobs, course assistant, Versant prep assistant, etc.)
Simulate results for stability in Azure with 1 million students in Spanish, Portuguese, French, English (i.e. 98% accuracy, 100% uptime, 3% milestone achievement over predicted)
Predictive model accuracy 92% on average for each micro-milestone</t>
  </si>
  <si>
    <t>PowerBI
Azure chat transcript tables
Microsoft Application Insights
Azure notebooks</t>
  </si>
  <si>
    <t>&gt; CSAT and Uptime - daily
&gt; QA weekly</t>
  </si>
  <si>
    <t>&gt; Collaborate with IT and ICS partners, including solution managers Kyle C. and Jeff Van Drimmelen, product managers Dustin Waith (Registration), Cary Johnson (formerly EC3), Johanna Powell (Admissions), Mike Hilmo (Finance/Gatherings), and Chad Neth (Reach), and ICS developers Bob Capel and Gordon Young (Reach/D365).
&gt; Work closely with portfolio architect Dennis Kiesel and various ICS engineers supporting Azure and AI services.
&gt; Hold weekly team meetings and 1:1s with each manager to maintain alignment and support individual well-being, performance, and growth.
&gt; Weekly development and development QA with managers.
&gt; Meet with ICS contacts specifically related to AI initiatives. These meetings ensure compliance with security protocols and help secure the support needed to advance our work.</t>
  </si>
  <si>
    <t>High engagement and alignment with stakeholders and team
Strong cross-team collaboration with IT and ICS partners
Timely delivery of AI-related initiatives
Effective QA and development with managers</t>
  </si>
  <si>
    <t>90% or better of projects delivered on time and within scope across our team (Overall execution and alignment with org priorities)
85% or better stakeholder satisfaction score (Effectiveness of collaboration and communication at an operational level)
80% or better engagement score from quarterly team surveys or retention metrics (Leadership quality and team stability)
One or more of our AI initiatives successfully integrated into business processes per quarter (Strategic contribution to modernization and innovation)</t>
  </si>
  <si>
    <t>Quarterly &amp; Biannually</t>
  </si>
  <si>
    <t>Dezjaron Dorsey</t>
  </si>
  <si>
    <t>&gt; Track project progression
&gt; Manage team through 1on1s and team meetings
&gt; Source solutions to unfolding project challenges
&gt; Build AI/ML Architecture
&gt; Build data model
&gt; Weekly reporting meetings
&gt; Maintain and manage
&gt;&gt; Azure Developers board
&gt;&gt; GitHub Repos
&gt;&gt; Azure DevOps Pipelines</t>
  </si>
  <si>
    <t>Course Assistant
Fluency Assistant
Companion Assistant (different from Native)
Grader Assistant
Data Model</t>
  </si>
  <si>
    <t>Ensure Digital Ops final products can be used successfully by the end users.
Ensure feedback and improvement backends are built into projects so they can be monitored and maintained.
Projects are updated and improved as needed to keep them functioning optimally.</t>
  </si>
  <si>
    <t>Student Support</t>
  </si>
  <si>
    <t>Pending</t>
  </si>
  <si>
    <t>&gt; Ensuring the path for students to get help is clear and easy by promoting the use of the Help Center
&gt; Ticket management systems are configured properly to allow us to effectively record, categorize, and quantify inbound ticket traffic
&gt; Promoting ongoing employee coaching and development
&gt; Internal knowledge articles are in place to guide agents on how to help students and know what internal processes to follow
&gt; External knowledge articles are in place on the Help Center to address common questions/issues for students
&gt; Balancing efficiency and quality (CSAT surveys, First Contact Resolution, and QA Evaluations) as it pertains to ticket handling
&gt; Identifying, quantifying, and escalating system bugs for Product Managers and ICS to work on permanent fixes
&gt; Identifying ticket trends which are negatively impacting students. This includes working with other departments to reduce escalations by training and empowering our agents
&gt; Handling VIP and escalated support issues
&gt; Addressing team and employee performance issues</t>
  </si>
  <si>
    <t>Ticket Task Force</t>
  </si>
  <si>
    <t>Ensure that the Help Center is fully operational and the path for students to get support is clear and reliable.
All agents QA’d and given feedback monthly.
Ticket systems are running optimally and students are receiving high quality support.</t>
  </si>
  <si>
    <t>24 hour Response Time
48 hour Resolution Time
90% of tickets resolved within 5 days
95% First Contact Resolution
30 second wait time to speak with an agent (Phone Support)
80% agent availability to take calls (Phone Support)
20 minute average talk time (Phone Support)
60% resolution rate (Phone Support)
90% CSAT
All agents QA’d and given feedback monthly</t>
  </si>
  <si>
    <t>Power BI Dashboards</t>
  </si>
  <si>
    <t>Weekly &amp; Monthly</t>
  </si>
  <si>
    <t>General Support Manager</t>
  </si>
  <si>
    <t>Team Oversight &amp; Check-ins
&gt; Run weekly team meetings or stand-ups to align priorities.
&gt; Conduct 1:1 check-ins with direct reports.
&gt; Monitor workload distribution and adjust assignments.
Operational Monitoring
&gt; Review open support cases/tickets, escalations, or backlog.
Issue Resolution &amp; Escalation
&gt; Address customer or stakeholder escalations.
&gt; Troubleshoot recurring issues with processes, tools, or systems.
Performance Tracking
&gt; Review weekly KPIs (e.g., response times, customer satisfaction).
&gt; Identify early trends and areas needing quick correction.
Communication &amp; Coordination
&gt; Update leadership on support trends or risks.
&gt; Share policy/process updates with the team.
&gt; Coordinate with other departments to resolve cross-functional issues.
Team Development
&gt; Provide ongoing coaching or feedback.
&gt; Reinforce best practices and standard procedures.</t>
  </si>
  <si>
    <t>Advisor Workgroup
New Registration Workgroup</t>
  </si>
  <si>
    <t>Queue Health:
&gt; Ensure that ticket queues are turning over and cases are being resolved in a timely manner.
&gt; Diagnose ticket issues to ensure cases are in the correct queues.
Ensure that escalated cases are sent to the correct teams.
Maintain infrastructure health and request software updates as needed.
Plan and implement team development and ongoing training consistently.
Use KPIs to identify agents that need additional training and focus.</t>
  </si>
  <si>
    <t>Ticket resolutions per day - as high as possible
Average response time in hours - as low as possible
Average resolution time - 3 days or less
First contact resolution rate - 90% average
CSAT - 90% average
Quality assurance - 95% average</t>
  </si>
  <si>
    <t>https://app.powerbi.com/groups/4f9c84ba-b5d3-4eda-a86b-41fbb3b3bc4a/reports/af9ba6b3-8092-4e0c-bb52-4f8903b1b861/b4f5a8a463b9d5aef9c3?experience=power-bi</t>
  </si>
  <si>
    <t>&gt; Managing and developing the technical support team staff.
&gt; Updating key stakeholders on bug/issues.
&gt; Coordinating and prioritizing bug/issues based on key factors such as scope/impact/etc.
&gt; Responding to VIPs and other staff on issues for urgent matters.
&gt; Check and keep our Knowledge Base up to date.
&gt; Providing training and sharing knowledge with lower tiers of support to ensure first contact resolution success.</t>
  </si>
  <si>
    <t>Team Restructure towards efficiency:
&gt; Product presentations for each product and assign a member of tech support to each product and get a bi-weekly update of Product Bugs, continued issues, concerns on what needs to get fixed and risks to the product if they aren't fixed. This includes number of tickets and the main issues attached to each. We should have a running PPT that will provide this information to Product Managers.
Portal Product Service Reports with Miguel. Get Reporting for each Product Manager.
Training, Development, and Access
Future:
&gt; Refine FTE onboarding
&gt; Create student employee onboarding</t>
  </si>
  <si>
    <t>Tech Support team is functioning effectively and developing towards improving the student experience.
Improve knowledge &amp; training for technical support team
Provide weekly report on current ticket issues per team
Lower user access/merge issues for students:
&gt; Identify solutions to prevent students from deleting their user details.
&gt; Manage KBs used by Account Management to assist with user account issues</t>
  </si>
  <si>
    <t>Track average of new KB per month - goal 2 per month per person (6 FT &amp; 1 PT)
Improve quality of service offered by Tech Support:
&gt; QA ticket scoring 85%
&gt; Ticket resolution within 5 days to 90% once escalated to Tech Support
&gt; Initial response time within 48 hours once escalated to Tech Support</t>
  </si>
  <si>
    <t>Add Kira's QA scores to KPIs
End-to-end testing if that procedure can be implemented</t>
  </si>
  <si>
    <t>https://app.powerbi.com/groups/me/reports/f4e772a1-108f-4def-8aa5-c298e2c4eb0a/5bd92746cf75258f9eb1?experience=power-bi</t>
  </si>
  <si>
    <t>Monthly</t>
  </si>
  <si>
    <t>Product Support Engineer</t>
  </si>
  <si>
    <t>&gt; Resolve student cases.
&gt; Coordinate and help resolve any P1 issues.
&gt; Write DevOps bugs for ICS as necessary.
&gt; Write Knowledge Base articles and provide any necessary training.
&gt; Help keep the team running smoothly and efficiently.
&gt; Bug testing systems.</t>
  </si>
  <si>
    <t>Student accounts merging.</t>
  </si>
  <si>
    <t>Improve knowledge &amp; training for technical support team
Provide weekly report on current ticket issues per team
Lower user access/merge issues for students:
&gt; Identify solutions to prevent students from deleting their user details.
&gt; Manage KBs used by Account Management to assist with user account issues.</t>
  </si>
  <si>
    <t>Create or edit 10 KB articles per month
Improve quality of service offered by Tech Support:
&gt; QA ticket scoring 85%
&gt; Ticket resolution within 5 days to 90% once escalated to Tech Support
&gt; Initial response time within 48 hours once escalated to Tech Support
Close 40 tickets per week minimum (depending on how many tickets are in the queue)</t>
  </si>
  <si>
    <t>Consistency Coordinator</t>
  </si>
  <si>
    <t>&gt; Managing the QA team
&gt; Managing the External KB team
&gt; Ensuring that internal articles get created when Support agents have questions or is missing information when helping students.
&gt; Providing reports on how well Support is doing in reference to our QA metrics
&gt; Aiding with the staffing needs of student support</t>
  </si>
  <si>
    <t>&gt; Updating Onboarding Training
&gt; Constant QA team training/improvement
&gt; Maintaining all employee records across multiple teams for QA/dashboard purposes</t>
  </si>
  <si>
    <t>Quality Assurance:
&gt; Monthly reports are sent to senior leaders on time
Onboarding:
&gt; New hires are trained within the appropriate time frame to avoid delaying start dates
Knowledge Management:
&gt; Monthly random auditing of Help Center KB articles (checking for consistency)
&gt; Monitoring backlog of internal feedback and new requests awaiting SME responses and sending monthly report to senior leaders</t>
  </si>
  <si>
    <t>Quality Assurance:
&gt; All agents receive at least 3 QAs per month
&gt; Team Leaders provide feedback to agents within the same month of the evaluation - 90% goal
&gt; 1 consistency monitoring session per week with team
&gt; 100% of critical violations sent to team leaders
Onboarding:
&gt; New hires are trained and ready to take calls within 1 and a half weeks
Knowledge Management:
&gt; Help Center KB articles published within 48 hours of being requested</t>
  </si>
  <si>
    <t>https://app.powerbi.com/groups/4f9c84ba-b5d3-4eda-a86b-41fbb3b3bc4a/reports/af9ba6b3-8092-4e0c-bb52-4f8903b1b861/1afb91a1da6d47c71041?ctid=61e6eeb3-5fd7-4aaa-ae3c-61e8deb09b79&amp;experience=power-bi</t>
  </si>
  <si>
    <t>&gt; Lead and oversee the Phone Support team at BYU-Pathway Worldwide, including domestic student employees and international contractors
&gt; Monitor and report weekly metrics and provide training for the team or coach individual agents when goals are not met.
&gt; Train Phone Support Leads and assist them in answering agent questions to ensure that accurate information is being always given out
&gt; Monitor phone calls to provide feedback to leads, agents, and jump in when necessary
&gt; Design and deliver training programs on call center skills such as active listening, de-escalation, FERPA compliance, and escalation procedures
&gt; Write and publish Knowledge Base articles specific to the phone support team
&gt; Collaborate with other teams and departments to provide student feedback, report errors, and create escalation paths
&gt; Act as a key point of escalation for complex or urgent student issues, ensuring timely resolution and communication
&gt; Review QA and CSAT scores and assist the leads in providing feedback to agents and the team
&gt; Manage domestic student employees time, schedules, and absences</t>
  </si>
  <si>
    <t>&gt; Adding additional contact methods once ICS is ready
&gt; Ongoing training and development for Phone Support Team</t>
  </si>
  <si>
    <t>This role is successful when the Phone Support team is performing optimally, meeting their goals, and developing their skills.</t>
  </si>
  <si>
    <t>&gt; Number of Calls Answered - as low as possible, depends on all tools functioning correctly.
&gt; Abandoned Rate - under 5%
&gt; Caller wait time - no current goal, tracking
&gt; Caller handle time - under 20 minutes
&gt; Availability - 80%
&gt; Resolution Rate - no current goal, tracking
&gt; CSAT - 85%
&gt; QA Scores - 85%
&gt; Case Open Time - under 5 days</t>
  </si>
  <si>
    <t>Student Support Metrics dashboard</t>
  </si>
  <si>
    <t>Director of Student Services</t>
  </si>
  <si>
    <t>Student Services</t>
  </si>
  <si>
    <t>Maintain student academic records and ensure compliance with institutional policies, accreditations standards, and regulations.
Oversee the following teams: registration, graduation, enrollment verification and internal transfer credits, records, degree progress audit, and planning.
Oversee course registration for each block including manual GEC registration.
Manage publishing Block/Term data and EnglishConnect section creation.
Oversee the graduation process for each block.
Coordinate with various departments and area managers to resolve student record issues.
Review data and processes with partner institutions for auditing purposes.
Catalog maintenance
Oversee academic exceptions committee and weekly meetings.</t>
  </si>
  <si>
    <t>Ticket Task Force
All other projects are contained within the typical functioning of the registrar's office.
Single PV Graduation Processing
Move Students to new Program Versions
Path 1.0 Data Migration
Syncing Campus Based Courses and Credentials (BYU-I, Ensign College)
GEC Section Management
Registration - Matriculation Management
Apostille - SAQA and Brazil
Blocking transcript ordering from more than one institutuion (BYUPW, BYUI, Ensign)
Budgets
Catalog - publish new catalog 2026 -
Catalog maintenance
Companion Implementation Task force
Course / Program Teach-out
Course section creation colaboration with BYU-Idaho
Direct Admits - removing</t>
  </si>
  <si>
    <t>Constantly improving the student experience.
Ensure that all student academic records are accurate, current, and accessible.
Provide support and leadership for the registration, graduation, enrolment verification, records, DPA, and planning teams and ensure they are functioning optimally.
Provide oversight to ensure all student registration happens efficiently and effectively.
Ensure that Block data is published and all needed sections are created in Canvas.
Ensure that the graduation process in carried out efficiently and accurately for each block.
High employee productivity due to clear direction and leadership.
Effective collaboration among team members.</t>
  </si>
  <si>
    <t>Achieve 100% accuracy rate in student academic records. Increase team member task completion rate Ensure Block data is 100% published by due date</t>
  </si>
  <si>
    <t>&gt; Work on ADO resolution (1 hours)
&gt; Review Coursedog proposals for Academic Catalog updates (1 hours)
&gt; Make configuration updates in Anthology Student (2 hours)
&gt; Meetings to maintain policy and processes for Curriculum, Planning, and Registration (6 to 7 hours)
&gt; Assist with manual registration as needed - GEC, Portuguese sections (2 to 3 hours)
&gt; Continued testing on current curriculum or configuration updates (2 hours)
&gt; Other meetings with team members (1 to 2 hours)
&gt; Planning for next day (30 minutes)</t>
  </si>
  <si>
    <t>Program Plans (Student facing)
Program Sheets (Organization facing)</t>
  </si>
  <si>
    <t>Curriculum is updated and functioning in Anthology to allow for on-time Registration.
Ensure that Registration Cleanup data is available and actioned appropriately.
Coordinate the Coursedog proposal procedure to ensure that all stakeholders are completing their actions items so curriculum updates can be implemented on time.</t>
  </si>
  <si>
    <t>Configuration Updates Made Each block
Catalog Updates Made Each block
Team is task goals completed each block</t>
  </si>
  <si>
    <t>TBD</t>
  </si>
  <si>
    <t>&gt; Oversee the graduation team as they work through graduation applications and graduation issues.
&gt; Personally vet and award credentials each week.
&gt; Send orders for paper copies of diplomas.
&gt; Take care of escalated students who have not received their credentials for any given reason.
&gt; Work with partners to go over any graduation questions or issues they might have.
&gt; Work through apostilles for students needing documents certified for use outside of the US (this can include certificates, diplomas, official transcripts, and enrollment verification letters).
&gt; Work with communications team to send information about graduation to students.
&gt; Work with partner institutions for vetting and auditing lists of graduates, as well as posting final numbers and getting names into the graduation programs.
&gt; Work in the configuration to make sure we can send portal alerts for apostille and am working on getting them set up for graduation as well.
&gt; Apart from graduation, I am also overseeing the hiring and basic training for the registrar office.</t>
  </si>
  <si>
    <t>Term 6 Active to Pending Completion Queue (Anthology Student workflow)
Term 6 Applications (REACH)
Finishing the Ensign Audit from 5/10/2025
Sending grads to the printer weekly</t>
  </si>
  <si>
    <t>Ample access to resources and training modules
Daily team work sessions via zoom
Weekly leadership check-ins and trainings
Prioritize quality over quantity</t>
  </si>
  <si>
    <t>Zero incorrect graduations/rescinded degrees. Prioritize quality over quantity
All applications submitted before the term deadline will have at least one review before the end of the term, and students will be notified.
Every graduate receives two reviews before their graduation is finalized. One at mid-term, and the final review after grades post.
Employees process 2-3 graduations or on-track reviews per hour</t>
  </si>
  <si>
    <t>Per term</t>
  </si>
  <si>
    <t>Records &amp; Transcript Coordinator</t>
  </si>
  <si>
    <t>&gt; Grade Changes: Oversees documentation and processing of grade change requests, reinstatements, and grievance-related updates.
&gt; Academic Exceptions: Facilitates exception requests via the Companion Bot, collaborates with institutional partners, and supports the Academic Exceptions Committee.
&gt; Transcript Management: Manages manual transcript processing and verification, resolving legacy data issues in partnership with technical teams and institutions.
&gt; Transcript Cleanup: Coordinates with Anthology to maintain transcript data integrity through daily issue resolution.
&gt; Official Transcript Requests: Ensures compliant handling and delivery of official transcript requests submitted through the Companion Bot.</t>
  </si>
  <si>
    <t>Transcript Cleanup &amp; Accuracy: Ongoing resolution of legacy data issues in Anthology to ensure accurate transcripts.
Academic Exceptions Management: Facilitating committee reviews and improving turnaround times for exception cases.
Grade Change Processing: Maintaining accuracy and timeliness for reinstatements and grievance-related updates.
Knowledge Base Updates: Regularly refining content based on trends and escalations.
Service Performance Reporting: Weekly tracking agent outcomes and service trends for Springboard collaboration.</t>
  </si>
  <si>
    <t>System Stability: Reduced SIS bugs and improved Anthology functionality for transcript processing.
Cross-Team Collaboration: Timely communication with BYU–Idaho, Ensign College, and Anthology partners.
Clear SOPs: Fully documented processes for grade changes, academic exceptions, and transcript handling.
QA &amp; Training: Ongoing quality assurance reviews and team training to maintain compliance and accuracy.</t>
  </si>
  <si>
    <t>Grade Change Accuracy Rate: Target ≥ 97%
Transcript Accuracy Rate: Target ≥ 95%
Academic Exception Accuracy: Target ≥ 95%
QA Review Pass Rate: Target ≥ 90%
Knowledge Base Updates: 2–4 per month
Response Time to Partners: ≤ 24 hours
Meeting Attendance: ≥ 95%
Turnaround Times:Grade Changes: ≤ 3-5 business days
Academic Exceptions: ≤ 8-14 business days
Transcript Fulfillment: ≤ 8-14 business days</t>
  </si>
  <si>
    <t>Escalation Resolution Time: Average ≤ 72 hours
Issue Flagging &amp; Resolution Rate: ≥ 90% within SLA
Training Sessions Conducted: 1–weekly
Service Performance Reporting Compliance: 100% of weekly reports submitted</t>
  </si>
  <si>
    <t>Reach: For tracking grade changes, academic exceptions, and transcript requests.
Anthology: For transcript accuracy and ADO issue resolution.
QA Audit Reports: For compliance and accuracy metrics.
Knowledge Base Logs: For update frequency.
Internal Meeting Records &amp; Timecards: For attendance and cyclical tasks.</t>
  </si>
  <si>
    <t>Weekly: Service performance reports, QA reviews, meeting attendance tracking.
Monthly: KPI dashboard updates, Knowledge Base updates.
Quarterly: SMART goal progress evaluation, workload trend analysis.
Bi-Annual: Performance reviews and cyclical compliance checks</t>
  </si>
  <si>
    <t>Planning Coordinator</t>
  </si>
  <si>
    <t>&gt; Meet with Planning Team leadership (student employees) to review the team's productivity and training.
&gt; Work with other teams both inside and outside the Registrar's office to iron out issues in students' DPAs and planning.
&gt; Creating and refining processes to address issues in weekly meetings with other Coordinators.
&gt; Meet with Anthology once a week to review questions about the platform and issues found.
&gt; Attend and participate in the Academic Exceptions meeting at least once a week.</t>
  </si>
  <si>
    <t>Assisting with Curriculum updates
Creating and refining processes
Creating and updating KBs for Planning Team</t>
  </si>
  <si>
    <t>Number of new incoming cases is monitored to inform new KB and procedure needs.
Student DPA issues are reducing, and the institution is working toward data cleanliness.
Maintain an open dialog with Anthology to ensure system updates are moving forward appropriately.
Understand and contribute to Academic Exceptions team.</t>
  </si>
  <si>
    <t>Cases completed - 80 cases per day
Number of cases in the queue - less than 160 cases
Quality assurance - 90% average
Cases age - less than 14 days old (Case age can only be controlled so far by the planning team because they are worked by other teams first but this metric is an aspirational KPI)</t>
  </si>
  <si>
    <t>https://app.powerbi.com/groups/me/apps/edf61692-3af5-4aba-af7e-ef1de76ce451/reports/6f338692-a93d-4072-b2d6-b7af6aa347ab/e205f7687b0c4b678359?ctid=61e6eeb3-5fd7-4aaa-ae3c-61e8deb09b79&amp;experience=power-bi</t>
  </si>
  <si>
    <t>Enrollment Verification Specialist</t>
  </si>
  <si>
    <t>&gt; Emailing third parties that need an enrolment verification
&gt; Communicating with BYU-I on letters and forms I can fill out
&gt; Letters from the Department of the Defense
&gt; Internal Credits missing from BYUI and Ensign College that need to be input into the system
&gt; Custom letters for students</t>
  </si>
  <si>
    <t>Add BYU-I &amp; Ensign courses to Anthology</t>
  </si>
  <si>
    <t>Third-party verification cases are processed and sent to students as soon as possible.
Ensuring that students receive enrolment verifications efficiently and effectively.
Collaborate with other departments and government organizations to provide students with custom letters as efficiently as possible.
Refine and update internal credit system with the goal of establishing accuracy.</t>
  </si>
  <si>
    <t>Enrolment verification cases - 3 per hour per agent
Internal credit additions - 1 per hour per agent
Quality assurance - 90% goal
Maximum case age - 5 days</t>
  </si>
  <si>
    <t>None - tracking in spreadsheets</t>
  </si>
  <si>
    <t>Emma Stone</t>
  </si>
  <si>
    <t>Out of office</t>
  </si>
  <si>
    <t>System &amp; Operations Manager</t>
  </si>
  <si>
    <t>Systems and Operations is a new team intended to help Student Services operate with greater efficiency and efficacy. The Systems &amp; Operations team does this through three major emphases:
&gt; Help steer future state projects--We help guide and plan for future state projects (especially the technical elements), allowing SMEs to focus on serving current student needs/initiatives. Some current examples of these projects are the MLP and New Registration projects. In addition to this, we frequently meet with SMEs to design ways to optimize their operations through better processes, tools, and best practices.
&gt; Provide operational data/reports (especially to members of student services) --We provide data and reports to help SMEs work more effectively in their area. We also produce reports that allow teams to measure their overall effectiveness/productivity. Additionally, we present the needs and standards for students to record data to a variety of internal and external partners.
&gt; Be SIS specialist--We provide support for how to best utilize the SIS and its features. This involves consulting with SMEs on their processes and how they use the SIS. We also manage much of the configuration of the entities within the SIS to tailor the system for our programs, initiatives, and students.</t>
  </si>
  <si>
    <t>State projects have all the technical support and project planning to roll out effectively without distracting SMEs.
Ensure the Student Information System has the necessary support to run effectively and efficiently.
All Power BI reports are functional and providing data to fulfill their purposes.</t>
  </si>
  <si>
    <t>Tasks completed on time - goal to be set
Number of task hours completed - goal to be set</t>
  </si>
  <si>
    <t>&gt; Manage the reports in the Power BI Apps that I have developed and ensure that they continue to refresh as expected.</t>
  </si>
  <si>
    <t>All Power BI reports are functional and providing data to fulfill their purposes.</t>
  </si>
  <si>
    <t>Reporting &amp; Evaluation Coordinator</t>
  </si>
  <si>
    <t>&gt; NSC reporting for both BYUI and EC
&gt; Enrollment Verifications
&gt; Demographic changes
&gt; SSN verifications
&gt; Auto-Drop Process
&gt; Grade Posting Process
&gt; Academic Calendar - Dates &amp; Deadlines
&gt; Term Configurations
&gt; Updating student services website through Coursedog</t>
  </si>
  <si>
    <t>All Student Services process reports are functional and updating appropriately.
Student Services website is always fully updated.</t>
  </si>
  <si>
    <t>System &amp; Operations Associate Registrar</t>
  </si>
  <si>
    <t>&gt; Overseeing the Student Information System (SIS)
&gt; Implementing institutional academic policies
&gt; FERPA compliance</t>
  </si>
  <si>
    <t>Ensure the Student Information System has the necessary support to run effectively and efficiently.
FERPA practices are maintained for all students.</t>
  </si>
  <si>
    <t>Admissions Services Manager</t>
  </si>
  <si>
    <t>&gt; Develop admissions policies and strategies to support new and evolving initiatives
&gt; Key business owner for system design, testing, and improvement efforts to enhance student access
&gt; Monitor key admissions metrics to inform decisions
&gt; Collaborate with BYU-Pathway leadership, partner institutions, and cross-functional teams to align processes
&gt; Support organizational scalability through planning and documentation
&gt; Provide oversight and direction to staff who manage operational processes (application review, endorsements, transcripts, data integrity</t>
  </si>
  <si>
    <t>MLP System development and updates
New Registration Updates (Ecclesiastical Endorsement, Progressing Students)
Improve transfer credit evaluation process</t>
  </si>
  <si>
    <t>Reduced BYU-Pathway Support traffic for all areas overseen by Admissions
Improved application to registration through-put
High employee productivity due to clear direction and leadership.
Effective collaboration among team members.</t>
  </si>
  <si>
    <t>Percentage of started admission applications that get an admissions decision (admit or deny).
Delivery of Strategic Admissions Initiatives
Completion of planned admissions initiatives on time and as scoped.
Reduction of enrollment related support tickets.
Elimination of Admissions-SME tier 2 support tickets.</t>
  </si>
  <si>
    <t>Enrollment Coordinator</t>
  </si>
  <si>
    <t>&gt; Liaise with the Ecclesiastical Clearance Office (ECO) and chaplains to resolve endorsement-related issues.
&gt; Manage a team that notifies students with missing or MRNs and resetting endorsement requests.
&gt; Oversee transfer evaluation team as they make sure of transcript submission. workflows and ensure accurate linkage to student records.
&gt; Support or lead transcript evaluation processes to verify credit.
&gt; Identify and merge duplicate student records in Reach.
&gt; Manage and monitor student portal tools, including the English Language Assessment and Parent Program Selection.</t>
  </si>
  <si>
    <t>Updating Transfer Evaluation Policies
Checking and correcting endorsement hold groups
Creating transfer evaluation QA procedure</t>
  </si>
  <si>
    <t>Consistently reducing transfer evaluation backlog
Admission SME Support queue is emptying each day
Endorsement related issues are resolved efficiently and effectively
Student MRN issues are tracked and corrected by collaborating with the student to prevent barriers for continuation
Ensure student portal tools are functional</t>
  </si>
  <si>
    <t>Maximum case age - 5 days
Quality assurance - 90% average</t>
  </si>
  <si>
    <t>Transfer evaluations are completed at an average rate of 1.25 per hour per agent.
Maximum case age does not exceed 5 days, ensuring evaluations do not develop into a backlog.
Quality assurance scores average 90 percent or higher across completed evaluations.
Reduction of enrollment related support tickets.
Elimination of Admissions-SME tier 2 support tickets</t>
  </si>
  <si>
    <t>Enrollment Services Specialist</t>
  </si>
  <si>
    <t>&gt; Process student applications across various programs.
&gt; Monitor integration logs to verify successful application processing and resolve reported issues.
&gt; Review and process applications flagged for Manual Review, including those requiring exceptions.
&gt; Manually provision students when necessary or upon request.
&gt; Maintain and update application settings in Reach for each term, including application periods, decisions, and admission letters.
&gt; Create and update knowledge base (KB) articles related to the application process.
&gt; Collaborate with the Registrar’s Office to update returning students’ credits and PathwayConnect graduations upon enrollment.
&gt; Test new application versions (e.g., Portuguese application) and report issues for resolution.
&gt; Oversee the Admissions SME Support queue, identifying and managing cases related to the application.
&gt; Supervise a team of student employees, providing weekly training and ongoing support.</t>
  </si>
  <si>
    <t>Application processing
Ensuring integration and provisioning to get all student licenses
Resolve escalated issues in the SME Admissions Support Queue
Manual Review on Applications
Ensuring Application setting are correctly updated each block</t>
  </si>
  <si>
    <t>Promote admitted students within 1 business day of application submission
Students receive admissions communication at the proper times during the application process.
Resolve Manual Review on Application within a week
Application settings are always updated and correct</t>
  </si>
  <si>
    <t>Get student their BYU-Pathway email within a business day of promotion
100% application processed within a business day
100% of admitted applications processed (promoted) within one business day during promotion periods.
100% of applications selected for manual review are completed, or the student is communicated with, within one week.
Reduction of application related support tickets.
Elimination of Admissions-SME tier 2 support tickets.</t>
  </si>
  <si>
    <t>REACH Queues</t>
  </si>
  <si>
    <t>Trey Mooney</t>
  </si>
  <si>
    <t>&gt; Coordination Meeting with Admissions Leadership
&gt; Data Team ECO Coordination Meeting
&gt; Volunteer Chaplain Leadership Coordination
&gt; Salt Lake City HQ Mission Presidency Coordination
&gt; Conduct Ecclesiastical Endorsement Interviews Training Leadership Interview new Chaplains</t>
  </si>
  <si>
    <t>Ecclesiastical Endorsement Interview Oversight
Partnership and Communication with the Ecclesiastical Clearance Office (ECO).
Chaplain Training and Onboarding
Forecasting and Capacity Planning
Data, Reporting, and Continuous Improvement
Chaplain Endorsement Tool Oversight
Chaplain Recruitment and Load Balancing
Escalation &amp; Student Communication
BYU-Pathway and Partner Collaboration</t>
  </si>
  <si>
    <t>Interviews are accurate, complete, and aligned with the Honor Code.
Chaplains are well-trained, confident, and performing at high quality levels.
Chaplains are provided with the tools that allow them to be efficient and effective in conducting Ecclesiastical Endorsement Interviews (Chaplain Portal)
There exists a high level of discretion, care, and spiritual sensitivity in student and team interactions.
There is strong collaboration with internal departments and external partners to ensure alignment on policies, communication, and endorsement processes.
All updates to ECS and all tracking tools reflect current and correct information.
Dashboards and reports provide clear, actionable insights that guide decisions.
Feedback from students, chaplains, and ECO indicates a positive and supportive interview experience.</t>
  </si>
  <si>
    <t>Target interview timelines (goal: within 2 weeks) are consistently met.</t>
  </si>
  <si>
    <t>100% of Chaplain endorsement requests being worked on within 1 week (first contact attempt).
Endorsement requests completed within 2 weeks of entering Chaplain queue.
Weekly training/coordination with lead chaplains.
Monthly training/coordination with all chaplains."</t>
  </si>
  <si>
    <t>Chaplin dashboard</t>
  </si>
  <si>
    <t>Student Experience Coordinator</t>
  </si>
  <si>
    <t>&gt; Coordinate Training with other Pathway departments as well as with our partners.
&gt; Coordinate with those working on video and other media creative projects to supplement our KBs.
&gt; Communicate with SSC structure within the organization and with our partners.
&gt; Collaborate with Student Support to ensure that the student-facing articles on the Help Centre are easily accessible and accurate.
&gt; Outline and communicate the student journey</t>
  </si>
  <si>
    <t>Milestone Maps
Training Development
New Registration KBs for who is moving to new registration and who isn't
Class Planning
How to us Program Plans
Springboard contractors checking all KBs for accuracy.</t>
  </si>
  <si>
    <t>Ensure that the Help Centre has everything a student needs to navigate the student experience autonomously. Including all steps, micro steps, links, pictures, and videos.
Understand the full student experience to advocate and plan for their needs.
Coordinate with SMEs and write KBs to their specifications.</t>
  </si>
  <si>
    <t>Audit every external article each quarter.
Confirm SME meetings are occurring each week.</t>
  </si>
  <si>
    <t>Weekly &amp; Quarterly</t>
  </si>
  <si>
    <t>Employee</t>
  </si>
  <si>
    <t>Dept</t>
  </si>
  <si>
    <t>KPI Measure</t>
  </si>
  <si>
    <t>KPI Category</t>
  </si>
  <si>
    <t>Category Type</t>
  </si>
  <si>
    <t xml:space="preserve">Data </t>
  </si>
  <si>
    <t>Performance</t>
  </si>
  <si>
    <t xml:space="preserve">Data options </t>
  </si>
  <si>
    <t xml:space="preserve">Dean of Students </t>
  </si>
  <si>
    <t>No material audit findings attributable to Dean of Students governance</t>
  </si>
  <si>
    <t xml:space="preserve">Data available </t>
  </si>
  <si>
    <t>≥1</t>
  </si>
  <si>
    <t xml:space="preserve">No data </t>
  </si>
  <si>
    <t>No legal findings attributable to Dean of Students governance</t>
  </si>
  <si>
    <t>No accreditation findings attributable to Dean of Students governance</t>
  </si>
  <si>
    <t xml:space="preserve">Data in report </t>
  </si>
  <si>
    <t>$</t>
  </si>
  <si>
    <t>Satisfaction</t>
  </si>
  <si>
    <t>-</t>
  </si>
  <si>
    <t>Dean of Students response time</t>
  </si>
  <si>
    <t>&lt;5 days</t>
  </si>
  <si>
    <t>5 - 7 days</t>
  </si>
  <si>
    <t>&gt;7 days</t>
  </si>
  <si>
    <t>Dean of Students resolution time</t>
  </si>
  <si>
    <t xml:space="preserve">Dean of Students services escalation rates
</t>
  </si>
  <si>
    <t>Partner CSAT</t>
  </si>
  <si>
    <t>Honor and Conduct response time</t>
  </si>
  <si>
    <t>Honor and Conduct resolution time</t>
  </si>
  <si>
    <t>Accommodation determination processing rate</t>
  </si>
  <si>
    <t>Accommodation resolution rate</t>
  </si>
  <si>
    <t>&lt;3 days</t>
  </si>
  <si>
    <t>3 - 6 days</t>
  </si>
  <si>
    <t>&gt; 6 days</t>
  </si>
  <si>
    <t>ADA and Section 504 standard compliance rate</t>
  </si>
  <si>
    <t>ADA and Section 504 Audit compliance rate</t>
  </si>
  <si>
    <t xml:space="preserve">Discrimination resolution rate </t>
  </si>
  <si>
    <t>Student sentiment on belonging</t>
  </si>
  <si>
    <t>NA</t>
  </si>
  <si>
    <t>CSAT for Student Belonging</t>
  </si>
  <si>
    <t>&lt; 90%</t>
  </si>
  <si>
    <t>70% - 90%</t>
  </si>
  <si>
    <t>&lt; 70%</t>
  </si>
  <si>
    <t>&lt; 24 hours</t>
  </si>
  <si>
    <t>24 - 48 hours</t>
  </si>
  <si>
    <t>&gt; 48 hours</t>
  </si>
  <si>
    <t>Records, Registration, Support</t>
  </si>
  <si>
    <t>Teams meeting or exceeding response service-level agreements</t>
  </si>
  <si>
    <t>Teams meeting or exceeding resolution service-level agreements</t>
  </si>
  <si>
    <t>&lt;48 hours</t>
  </si>
  <si>
    <t>48 - 72 hours</t>
  </si>
  <si>
    <t>&gt; 72 hours</t>
  </si>
  <si>
    <t>Teams meeting QA service-level agreements</t>
  </si>
  <si>
    <t xml:space="preserve">≥90% </t>
  </si>
  <si>
    <t>85% - 90%</t>
  </si>
  <si>
    <t>&lt; 85%</t>
  </si>
  <si>
    <t>Teams meeting CSAT service-level agreements</t>
  </si>
  <si>
    <t xml:space="preserve">≥85% </t>
  </si>
  <si>
    <t>80% - 85%</t>
  </si>
  <si>
    <t>&lt;80%</t>
  </si>
  <si>
    <t>Teams meeting first contact resolution service-level agreements</t>
  </si>
  <si>
    <t>≥90%</t>
  </si>
  <si>
    <t>&lt;85%</t>
  </si>
  <si>
    <t>Autonomy</t>
  </si>
  <si>
    <t>&lt; 80%</t>
  </si>
  <si>
    <t>100% - 85%</t>
  </si>
  <si>
    <t xml:space="preserve">84% - 70% </t>
  </si>
  <si>
    <t>General support case response rate</t>
  </si>
  <si>
    <t>1-3 Days</t>
  </si>
  <si>
    <t>4-5 Days</t>
  </si>
  <si>
    <t>5+ Days</t>
  </si>
  <si>
    <t>General support case resolution rate</t>
  </si>
  <si>
    <t>≥ 90%</t>
  </si>
  <si>
    <t>80-90%</t>
  </si>
  <si>
    <t>Phone answer speed</t>
  </si>
  <si>
    <t>&lt; 1 minute</t>
  </si>
  <si>
    <t>2-5 minutes</t>
  </si>
  <si>
    <t>5+ minutes</t>
  </si>
  <si>
    <t>Phone handle rate</t>
  </si>
  <si>
    <t xml:space="preserve">≥ 90% </t>
  </si>
  <si>
    <t>80-89%</t>
  </si>
  <si>
    <t>Agent availability</t>
  </si>
  <si>
    <t>≥ 80%</t>
  </si>
  <si>
    <t>75 - 79 %</t>
  </si>
  <si>
    <t>&lt; 75%</t>
  </si>
  <si>
    <t xml:space="preserve">Phone support QA </t>
  </si>
  <si>
    <t>75-85%</t>
  </si>
  <si>
    <t xml:space="preserve">Phone support CSAT </t>
  </si>
  <si>
    <t xml:space="preserve">Phone support first contact resolution </t>
  </si>
  <si>
    <t>Request-to-KB publish rate</t>
  </si>
  <si>
    <t xml:space="preserve">QA feedback cycle rate </t>
  </si>
  <si>
    <t>QA calibration consistency rate</t>
  </si>
  <si>
    <t>Knowledge Base audit pass rate</t>
  </si>
  <si>
    <t>QA team lead feedback success rate</t>
  </si>
  <si>
    <t>Cost per QA Evaluation ($ per Evaluation)</t>
  </si>
  <si>
    <t>Cost per KB Article Maintained ($ per Article Updated or Audited)</t>
  </si>
  <si>
    <t>QA evaluation completion rate</t>
  </si>
  <si>
    <t>DSAT and critical violation delivery rate</t>
  </si>
  <si>
    <t>3 business days</t>
  </si>
  <si>
    <t>5 business days</t>
  </si>
  <si>
    <t>&gt; 10 business days</t>
  </si>
  <si>
    <t>Escalated case resolution rate</t>
  </si>
  <si>
    <t>90-100%</t>
  </si>
  <si>
    <t>75-90%</t>
  </si>
  <si>
    <t xml:space="preserve">Tech Support case QA </t>
  </si>
  <si>
    <t>Tech Support case CSAT</t>
  </si>
  <si>
    <t>Tech Support case first contact resolution</t>
  </si>
  <si>
    <t>Autonomy for student registration (% students registered without submitting a support request)</t>
  </si>
  <si>
    <t>&lt;75%</t>
  </si>
  <si>
    <t>Transcripts processed within 10 days</t>
  </si>
  <si>
    <t>0-5% of student reaching out</t>
  </si>
  <si>
    <t>5-30% of Students reaching out</t>
  </si>
  <si>
    <t>30-100% of students reaching out</t>
  </si>
  <si>
    <t>85-100%</t>
  </si>
  <si>
    <t>70-84%</t>
  </si>
  <si>
    <t>Below 70%</t>
  </si>
  <si>
    <t>Case resolution within 5 days</t>
  </si>
  <si>
    <t>65-84%</t>
  </si>
  <si>
    <t>Below 65%</t>
  </si>
  <si>
    <t>On-time catalog publishing rate</t>
  </si>
  <si>
    <t>On-time system configuration rate</t>
  </si>
  <si>
    <t xml:space="preserve">Process case QA </t>
  </si>
  <si>
    <t>Process case CSAT</t>
  </si>
  <si>
    <t>Records case QA</t>
  </si>
  <si>
    <t>Records case CSAT</t>
  </si>
  <si>
    <t>Graduation application case completion rate</t>
  </si>
  <si>
    <t>&lt; 3 weeks</t>
  </si>
  <si>
    <t>3-6 weeks</t>
  </si>
  <si>
    <t>Above 6 weeks</t>
  </si>
  <si>
    <t>Award processing rate</t>
  </si>
  <si>
    <t>Number of Rescinded Degrees</t>
  </si>
  <si>
    <t>&gt;1</t>
  </si>
  <si>
    <t xml:space="preserve">Application QA </t>
  </si>
  <si>
    <t>85-99%</t>
  </si>
  <si>
    <t>Below  85%</t>
  </si>
  <si>
    <t>Awarding QA</t>
  </si>
  <si>
    <t>&lt; 5 days</t>
  </si>
  <si>
    <t>6-10 Days</t>
  </si>
  <si>
    <t>Above 10 Days</t>
  </si>
  <si>
    <t>Transcript accuracy QA</t>
  </si>
  <si>
    <t>Resolution Rate &lt; 5 Days</t>
  </si>
  <si>
    <t>6-10 days</t>
  </si>
  <si>
    <t>Above 10 Day</t>
  </si>
  <si>
    <t xml:space="preserve">Degree planning escalation case CSAT </t>
  </si>
  <si>
    <t>Degree planning escalation case QA</t>
  </si>
  <si>
    <t>Enrollment verification completion rate</t>
  </si>
  <si>
    <t>Apostille completion rate</t>
  </si>
  <si>
    <t>&lt;10 Days</t>
  </si>
  <si>
    <t>11-14 days</t>
  </si>
  <si>
    <t>Above 14 days</t>
  </si>
  <si>
    <t>Enrollment verification QA</t>
  </si>
  <si>
    <t xml:space="preserve">Apostille QA </t>
  </si>
  <si>
    <t>Enrollment verification CSAT</t>
  </si>
  <si>
    <t>Apostille C-Sat</t>
  </si>
  <si>
    <t>Resolution Rate &lt; 24 hours</t>
  </si>
  <si>
    <t>&lt; 3 days</t>
  </si>
  <si>
    <t>Above 3 Days</t>
  </si>
  <si>
    <t>Registration issue case QA</t>
  </si>
  <si>
    <t>Registration issue case CSAT</t>
  </si>
  <si>
    <t>Digital Operations</t>
  </si>
  <si>
    <t>75-84%</t>
  </si>
  <si>
    <t>Digital Ops budget</t>
  </si>
  <si>
    <t>Costs saved by customers due to Digital Ops technologies (secondary)</t>
  </si>
  <si>
    <t>80-100%</t>
  </si>
  <si>
    <t>65-79%</t>
  </si>
  <si>
    <t>&lt;65%</t>
  </si>
  <si>
    <t>Application Rate</t>
  </si>
  <si>
    <t>Retention Rate</t>
  </si>
  <si>
    <t>&gt;75%</t>
  </si>
  <si>
    <t>65-74%</t>
  </si>
  <si>
    <t>Completion Rate (Secondary)</t>
  </si>
  <si>
    <t>&gt;40%</t>
  </si>
  <si>
    <t>30-39%</t>
  </si>
  <si>
    <t>&lt;30%</t>
  </si>
  <si>
    <t>75-100%</t>
  </si>
  <si>
    <t>50-74%</t>
  </si>
  <si>
    <t>&lt;50%</t>
  </si>
  <si>
    <t>&gt;4%</t>
  </si>
  <si>
    <t>2-3%</t>
  </si>
  <si>
    <t>Mentor interaction QA</t>
  </si>
  <si>
    <t>Reduction of enrollment related support cases</t>
  </si>
  <si>
    <t>Reduction of admissions tier 2 support cases</t>
  </si>
  <si>
    <t>Application start to admission yield</t>
  </si>
  <si>
    <t>Admission to registration yield</t>
  </si>
  <si>
    <t>Registration to auto-drop yield</t>
  </si>
  <si>
    <t>Enrollment Counseling required action completion rate</t>
  </si>
  <si>
    <t>Enrollment Counseling contact rate by alert</t>
  </si>
  <si>
    <t>Enrollment Counseling CSAT rate</t>
  </si>
  <si>
    <t>Enrollment Counseling yield contribution</t>
  </si>
  <si>
    <t>Transfer evaluation processing rate</t>
  </si>
  <si>
    <t>Endorsement case resolution rate</t>
  </si>
  <si>
    <t>Transfer evaluation case resolution rate</t>
  </si>
  <si>
    <t>Number of transfer evaluation cases</t>
  </si>
  <si>
    <t>Number of endorsement cases</t>
  </si>
  <si>
    <t>Application processing rate</t>
  </si>
  <si>
    <t>Application manual review turnaround rate</t>
  </si>
  <si>
    <t>Number of admissions support cases</t>
  </si>
  <si>
    <t>Admissions case resolution rate</t>
  </si>
  <si>
    <t>Draft v1.0  |  Updated monthly  |  Last refreshed: July 07, 2026</t>
  </si>
  <si>
    <t>Automation reference - powers Performance Status. Edit only to set/correct a KPI's target.</t>
  </si>
  <si>
    <t>Tracking Status</t>
  </si>
  <si>
    <t>Current Value</t>
  </si>
  <si>
    <t>Performance Status</t>
  </si>
  <si>
    <t>Data Source (Link to Sheet or Report)</t>
  </si>
  <si>
    <t>Update Frequency</t>
  </si>
  <si>
    <t>Update Date</t>
  </si>
  <si>
    <t>Direction</t>
  </si>
  <si>
    <t>Green Cutoff</t>
  </si>
  <si>
    <t>Red Cutoff</t>
  </si>
  <si>
    <t>Tracking</t>
  </si>
  <si>
    <t>Excel link</t>
  </si>
  <si>
    <t>Lower is Better</t>
  </si>
  <si>
    <t>Bi-Weekly</t>
  </si>
  <si>
    <t>Manual</t>
  </si>
  <si>
    <t>Not Tracking</t>
  </si>
  <si>
    <t>Higher is Better</t>
  </si>
  <si>
    <t>Quarterly</t>
  </si>
  <si>
    <t>Pending Review</t>
  </si>
  <si>
    <t>Annually</t>
  </si>
  <si>
    <t xml:space="preserve">≥75% </t>
  </si>
  <si>
    <t>65% - 75%</t>
  </si>
  <si>
    <t>&lt; 65%</t>
  </si>
  <si>
    <t>https://app.powerbi.com/Redirect?action=OpenReport&amp;appId=d4fe7f49-1b93-41aa-9e7d-6ee6d5ec3eb0&amp;reportObjectId=58eb3239-b972-4ee8-8645-fcf195f36c96&amp;ctid=61e6eeb3-5fd7-4aaa-ae3c-61e8deb09b79&amp;reportPage=02d230574060475bc0e4&amp;pbi_source=appShareLink&amp;portalSessionId=90e3d628-0853-431e-a924-80acd7dbd750</t>
  </si>
  <si>
    <t xml:space="preserve">Term </t>
  </si>
  <si>
    <t>Dean of Students services escalation rates</t>
  </si>
  <si>
    <t>X% of non-member ecclesiastical endorsements completed with X days</t>
  </si>
  <si>
    <t>https://app.powerbi.com/groups/me/apps/d4fe7f49-1b93-41aa-9e7d-6ee6d5ec3eb0/reports/fcf13746-fad2-48de-9d61-a4ab0ae71022/90333e1e71861247c683?experience=power-bi</t>
  </si>
  <si>
    <t>https://app.powerbi.com/groups/4f9c84ba-b5d3-4eda-a86b-41fbb3b3bc4a/reports/af9ba6b3-8092-4e0c-bb52-4f8903b1b861/acd0ee0b785069a6a598?experience=power-bi</t>
  </si>
  <si>
    <t>3 minutes</t>
  </si>
  <si>
    <t>https://app.powerbi.com/groups/4f9c84ba-b5d3-4eda-a86b-41fbb3b3bc4a/reports/af9ba6b3-8092-4e0c-bb52-4f8903b1b861/ec6a4f4305973947e908?experience=power-bi</t>
  </si>
  <si>
    <t>https://app.powerbi.com/groups/4f9c84ba-b5d3-4eda-a86b-41fbb3b3bc4a/reports/af9ba6b3-8092-4e0c-bb52-4f8903b1b861/1afb91a1da6d47c71041?experience=power-bi</t>
  </si>
  <si>
    <t>https://app.powerbi.com/groups/4f9c84ba-b5d3-4eda-a86b-41fbb3b3bc4a/reports/af9ba6b3-8092-4e0c-bb52-4f8903b1b861/77b2e5ed1050bc711c70?experience=power-bi</t>
  </si>
  <si>
    <t>https://app.powerbi.com/groups/4f9c84ba-b5d3-4eda-a86b-41fbb3b3bc4a/reports/af9ba6b3-8092-4e0c-bb52-4f8903b1b861/4c2855c01a3caaf171d0?experience=power-bi</t>
  </si>
  <si>
    <t>https://app.powerbi.com/groups/me/apps/d4fe7f49-1b93-41aa-9e7d-6ee6d5ec3eb0/reports/20549c98-8ffc-4600-b08a-67e5f927e9d6/23134ede7649a89fe09c?experience=power-bi</t>
  </si>
  <si>
    <t>https://app.powerbi.com/groups/me/apps/d4fe7f49-1b93-41aa-9e7d-6ee6d5ec3eb0/reports/1d513597-8eb5-4912-8692-96ff2a683a51/0209ae92d2720717522a?experience=power-bi</t>
  </si>
  <si>
    <t>https://grafanapathway-bvcefagkg2gtgzb6.eus.grafana.azure.com/d/edt8uho6bh0jkc/anthology-monitoring-top?orgId=1&amp;from=now-6h&amp;to=now&amp;timezone=America%2FDenver&amp;refresh=10s</t>
  </si>
  <si>
    <t>https://app.powerbi.com/groups/me/apps/d4fe7f49-1b93-41aa-9e7d-6ee6d5ec3eb0/reports/32370e33-dc03-418d-9403-25cfd508af0b/ReportSection9394f2e53928728d117e?experience=power-bi</t>
  </si>
  <si>
    <t>https://app.powerbi.com/groups/me/apps/edf61692-3af5-4aba-af7e-ef1de76ce451/reports/70c7e184-e400-4cac-9500-f8ec201a252b/ReportSection9394f2e53928728d117e?ctid=61e6eeb3-5fd7-4aaa-ae3c-61e8deb09b79&amp;experience=power-bi</t>
  </si>
  <si>
    <t>Work with Josh for a better report</t>
  </si>
  <si>
    <t>Block 3 Final Reviews_6.26.26.xlsx</t>
  </si>
  <si>
    <t>Checking with Kari if this link can be shared outside the admin team</t>
  </si>
  <si>
    <t>95-100%</t>
  </si>
  <si>
    <t>85-94%</t>
  </si>
  <si>
    <t xml:space="preserve">2026 Year QA Tracker.xlsx </t>
  </si>
  <si>
    <t>2026 Year QA Tracker.xlsx</t>
  </si>
  <si>
    <t>Transcript Requests - Power BI</t>
  </si>
  <si>
    <t>C-SAT - Student Support Dashboard (R) - Power BI</t>
  </si>
  <si>
    <t>Records Report</t>
  </si>
  <si>
    <t>Transcripts Report</t>
  </si>
  <si>
    <t>Needs Improvement</t>
  </si>
  <si>
    <t>https://app.powerbi.com/groups/me/apps/edf61692-3af5-4aba-af7e-ef1de76ce451/reports/7f263ef8-0c4e-4dbd-8c84-2d5d029a1085/e5ac827acf52df1bdc6a?ctid=61e6eeb3-5fd7-4aaa-ae3c-61e8deb09b79&amp;experience=power-bi</t>
  </si>
  <si>
    <t>https://cne-101008.crm.dynamics.com/main.aspx?appid=155f9667-c2f7-ed11-8847-000d3a358523</t>
  </si>
  <si>
    <t>https://app.powerbi.com/groups/me/apps/edf61692-3af5-4aba-af7e-ef1de76ce451/reports/fd36c261-899f-4645-aef4-d7302ec76d79/ReportSection9394f2e53928728d117e?ctid=61e6eeb3-5fd7-4aaa-ae3c-61e8deb09b79&amp;experience=power-bi</t>
  </si>
  <si>
    <t>https://app.powerbi.com/groups/me/apps/edf61692-3af5-4aba-af7e-ef1de76ce451/reports/7f263ef8-0c4e-4dbd-8c84-2d5d029a1085/185501d1d1107d800e43?ctid=61e6eeb3-5fd7-4aaa-ae3c-61e8deb09b79&amp;experience=power-bi</t>
  </si>
  <si>
    <t>https://app.powerbi.com/Redirect?action=OpenReport&amp;appId=d4fe7f49-1b93-41aa-9e7d-6ee6d5ec3eb0&amp;reportObjectId=be2cacf8-fa52-4ce4-abf5-f9ee28fa66a6&amp;ctid=61e6eeb3-5fd7-4aaa-ae3c-61e8deb09b79&amp;reportPage=90333e1e71861247c683&amp;pbi_source=appShareLink&amp;portalSessionId=78f4edc2-9814-43bc-bc67-b03ff6a08911</t>
  </si>
  <si>
    <t>https://app.powerbi.com/Redirect?action=OpenReport&amp;appId=d4fe7f49-1b93-41aa-9e7d-6ee6d5ec3eb0&amp;reportObjectId=58eb3239-b972-4ee8-8645-fcf195f36c96&amp;ctid=61e6eeb3-5fd7-4aaa-ae3c-61e8deb09b79&amp;reportPage=02d230574060475bc0e4&amp;pbi_source=appShareLink&amp;portalSessionId=78f4edc2-9814-43bc-bc67-b03ff6a08911</t>
  </si>
  <si>
    <t>App start-to-registration yield (secondary)</t>
  </si>
  <si>
    <t>https://app.powerbi.com/Redirect?action=OpenReport&amp;appId=d4fe7f49-1b93-41aa-9e7d-6ee6d5ec3eb0&amp;reportObjectId=27ea7bdf-aa28-4e92-98c9-89ecc9455740&amp;ctid=61e6eeb3-5fd7-4aaa-ae3c-61e8deb09b79&amp;reportPage=f2a14ebbd5968172a5bb&amp;pbi_source=appShareLink&amp;portalSessionId=78f4edc2-9814-43bc-bc67-b03ff6a08911</t>
  </si>
  <si>
    <t>PC Completion Rate (secondary)</t>
  </si>
  <si>
    <t>&gt;45%</t>
  </si>
  <si>
    <t>30-44%</t>
  </si>
  <si>
    <t>https://app.powerbi.com/Redirect?action=OpenReport&amp;appId=d4fe7f49-1b93-41aa-9e7d-6ee6d5ec3eb0&amp;reportObjectId=4679386d-8e13-43fa-9be7-6c5c504ce07a&amp;ctid=61e6eeb3-5fd7-4aaa-ae3c-61e8deb09b79&amp;reportPage=004a8c4d49c762e03b5d&amp;pbi_source=appShareLink&amp;portalSessionId=78f4edc2-9814-43bc-bc67-b03ff6a08911</t>
  </si>
  <si>
    <t>First Certificate Completion Rate (secondary)</t>
  </si>
  <si>
    <t>Usage - Companion App - Power BI</t>
  </si>
  <si>
    <t>https://app.powerbi.com/Redirect?action=OpenReport&amp;appId=d4fe7f49-1b93-41aa-9e7d-6ee6d5ec3eb0&amp;reportObjectId=be2cacf8-fa52-4ce4-abf5-f9ee28fa66a6&amp;ctid=61e6eeb3-5fd7-4aaa-ae3c-61e8deb09b79&amp;reportPage=90333e1e71861247c683&amp;pbi_source=appShareLink&amp;portalSessionId=c8279588-5339-490f-bd8a-0cbc06437598</t>
  </si>
  <si>
    <t xml:space="preserve">Katelyn Graf </t>
  </si>
  <si>
    <t xml:space="preserve">Senior Manager of Retention </t>
  </si>
  <si>
    <t>PC Completion Rate</t>
  </si>
  <si>
    <t>https://app.powerbi.com/Redirect?action=OpenReport&amp;appId=d4fe7f49-1b93-41aa-9e7d-6ee6d5ec3eb0&amp;reportObjectId=4679386d-8e13-43fa-9be7-6c5c504ce07a&amp;ctid=61e6eeb3-5fd7-4aaa-ae3c-61e8deb09b79&amp;reportPage=004a8c4d49c762e03b5d&amp;pbi_source=appShareLink&amp;portalSessionId=c8279588-5339-490f-bd8a-0cbc06437598</t>
  </si>
  <si>
    <t xml:space="preserve">First Certificate Completion Rate </t>
  </si>
  <si>
    <t>https://app.powerbi.com/Redirect?action=OpenReport&amp;appId=d4fe7f49-1b93-41aa-9e7d-6ee6d5ec3eb0&amp;reportObjectId=8b8c6aa8-361e-4ed7-8018-ac9b625ec004&amp;ctid=61e6eeb3-5fd7-4aaa-ae3c-61e8deb09b79&amp;reportPage=8dd6568b0dc02796db27&amp;pbi_source=appShareLink&amp;portalSessionId=c8279588-5339-490f-bd8a-0cbc06437598</t>
  </si>
  <si>
    <t>&lt;70%</t>
  </si>
  <si>
    <t>https://app.powerbi.com/Redirect?action=OpenReport&amp;appId=d4fe7f49-1b93-41aa-9e7d-6ee6d5ec3eb0&amp;reportObjectId=cb2ce85e-73e7-4234-8d3b-dd2fc9744649&amp;ctid=61e6eeb3-5fd7-4aaa-ae3c-61e8deb09b79&amp;reportPage=404ac9b71b3c0ac70d20&amp;pbi_source=appShareLink&amp;portalSessionId=c8279588-5339-490f-bd8a-0cbc06437598</t>
  </si>
  <si>
    <t>https://app.powerbi.com/Redirect?action=OpenReport&amp;appId=d4fe7f49-1b93-41aa-9e7d-6ee6d5ec3eb0&amp;reportObjectId=e2b5b9d8-0b16-4185-9213-61b41d61c157&amp;ctid=61e6eeb3-5fd7-4aaa-ae3c-61e8deb09b79&amp;reportPage=ReportSectionf20578b2c846b75ef80e&amp;pbi_source=appShareLink&amp;portalSessionId=c8279588-5339-490f-bd8a-0cbc06437598</t>
  </si>
  <si>
    <t>https://app.powerbi.com/Redirect?action=OpenReport&amp;appId=d4fe7f49-1b93-41aa-9e7d-6ee6d5ec3eb0&amp;reportObjectId=1d513597-8eb5-4912-8692-96ff2a683a51&amp;ctid=61e6eeb3-5fd7-4aaa-ae3c-61e8deb09b79&amp;reportPage=0209ae92d2720717522a&amp;pbi_source=appShareLink&amp;portalSessionId=c8279588-5339-490f-bd8a-0cbc06437598</t>
  </si>
  <si>
    <t xml:space="preserve">App start-to-registration yield </t>
  </si>
  <si>
    <t>60-74%</t>
  </si>
  <si>
    <t>&lt;60%</t>
  </si>
  <si>
    <t>https://app.powerbi.com/Redirect?action=OpenReport&amp;appId=d4fe7f49-1b93-41aa-9e7d-6ee6d5ec3eb0&amp;reportObjectId=27ea7bdf-aa28-4e92-98c9-89ecc9455740&amp;ctid=61e6eeb3-5fd7-4aaa-ae3c-61e8deb09b79&amp;reportPage=f2a14ebbd5968172a5bb&amp;pbi_source=appShareLink&amp;portalSessionId=04e4cd1a-8779-483e-a338-581068ced021</t>
  </si>
  <si>
    <t>https://app.powerbi.com/Redirect?action=OpenReport&amp;appId=d4fe7f49-1b93-41aa-9e7d-6ee6d5ec3eb0&amp;reportObjectId=7177fab9-23b0-4184-8f31-f0db822282c0&amp;ctid=61e6eeb3-5fd7-4aaa-ae3c-61e8deb09b79&amp;reportPage=ReportSection964c860de430a5035bab&amp;pbi_source=appShareLink&amp;portalSessionId=04e4cd1a-8779-483e-a338-581068ced021</t>
  </si>
  <si>
    <t>75-89%</t>
  </si>
  <si>
    <t>https://app.powerbi.com/Redirect?action=OpenReport&amp;appId=d4fe7f49-1b93-41aa-9e7d-6ee6d5ec3eb0&amp;reportObjectId=d0f58bce-3a7d-49b6-80a3-eade14ab09fc&amp;ctid=61e6eeb3-5fd7-4aaa-ae3c-61e8deb09b79&amp;reportPage=e3ff97a21eaacb03dbca&amp;pbi_source=appShareLink&amp;portalSessionId=04e4cd1a-8779-483e-a338-581068ced021</t>
  </si>
  <si>
    <t>Link</t>
  </si>
  <si>
    <t>Reduction of transfer evaluation cases</t>
  </si>
  <si>
    <t>Reduction of admissions support cases</t>
  </si>
  <si>
    <t>https://app.powerbi.com/groups/me/apps/edf61692-3af5-4aba-af7e-ef1de76ce451/reports/7f263ef8-0c4e-4dbd-8c84-2d5d029a1085/e5ac827acf52df1bdc6a?ctid=61e6eeb3-5fd7-4aaa-ae3c-61e8deb09b79&amp;experience=power-bi / https://app.powerbi.com/groups/me/apps/edf61692-3af5-4aba-af7e-ef1de76ce451/reports/7f263ef8-0c4e-4dbd-8c84-2d5d029a1085/185501d1d1107d800e43?ctid=61e6eeb3-5fd7-4aaa-ae3c-61e8deb09b79&amp;experience=power-bi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</si>
</sst>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Aptos Narrow"/>
      <family val="2"/>
      <scheme val="minor"/>
    </font>
    <font>
      <b/>
      <sz val="11"/>
      <color theme="1"/>
      <name val="Aptos Narrow"/>
      <family val="2"/>
      <scheme val="minor"/>
    </font>
    <font>
      <u/>
      <sz val="11"/>
      <color theme="10"/>
      <name val="Aptos Narrow"/>
      <family val="2"/>
      <scheme val="minor"/>
    </font>
    <font>
      <b/>
      <sz val="11"/>
      <color rgb="FF000000"/>
      <name val="Aptos Narrow"/>
      <family val="2"/>
      <scheme val="minor"/>
    </font>
    <font>
      <sz val="11"/>
      <color rgb="FF000000"/>
      <name val="Aptos Narrow"/>
      <family val="2"/>
      <scheme val="minor"/>
    </font>
    <font>
      <b/>
      <sz val="11"/>
      <color theme="0"/>
      <name val="Aptos Narrow"/>
      <family val="2"/>
      <scheme val="minor"/>
    </font>
    <font>
      <b/>
      <u/>
      <sz val="11"/>
      <color theme="0"/>
      <name val="Aptos Narrow"/>
      <family val="2"/>
      <scheme val="minor"/>
    </font>
    <font>
      <sz val="11"/>
      <color rgb="FF000000"/>
      <name val="Aptos Narrow"/>
      <family val="2"/>
    </font>
    <font>
      <b/>
      <sz val="12"/>
      <color theme="0"/>
      <name val="Aptos Narrow"/>
      <family val="2"/>
      <scheme val="minor"/>
    </font>
    <font>
      <b/>
      <sz val="12"/>
      <color theme="1"/>
      <name val="Aptos Narrow"/>
      <family val="2"/>
      <scheme val="minor"/>
    </font>
    <font>
      <b/>
      <sz val="12"/>
      <color theme="6" tint="-0.499984740745262"/>
      <name val="Aptos Narrow"/>
      <family val="2"/>
      <scheme val="minor"/>
    </font>
    <font>
      <b/>
      <sz val="12"/>
      <color theme="3" tint="9.9978637043366805E-2"/>
      <name val="Aptos Narrow"/>
      <family val="2"/>
      <scheme val="minor"/>
    </font>
    <font>
      <b/>
      <sz val="11"/>
      <color rgb="FFCC9A02"/>
      <name val="Aptos Narrow"/>
      <family val="2"/>
      <scheme val="minor"/>
    </font>
    <font>
      <b/>
      <sz val="12"/>
      <color rgb="FF0C3612"/>
      <name val="Aptos Narrow"/>
      <family val="2"/>
      <scheme val="minor"/>
    </font>
    <font>
      <b/>
      <sz val="11"/>
      <color rgb="FFCC9A02"/>
      <name val="Aptos Narrow"/>
      <family val="2"/>
    </font>
    <font>
      <b/>
      <sz val="12"/>
      <color rgb="FFFF0000"/>
      <name val="Aptos Narrow (Body)"/>
    </font>
    <font>
      <b/>
      <sz val="12"/>
      <color theme="3" tint="9.9978637043366805E-2"/>
      <name val="Aptos Narrow (Body)"/>
    </font>
    <font>
      <b/>
      <sz val="12"/>
      <color rgb="FF153D64"/>
      <name val="Aptos Narrow"/>
      <family val="2"/>
      <scheme val="minor"/>
    </font>
    <font>
      <b/>
      <sz val="12"/>
      <color rgb="FF0C3612"/>
      <name val="Aptos Narrow"/>
      <family val="2"/>
    </font>
    <font>
      <b/>
      <sz val="12"/>
      <color rgb="FF002060"/>
      <name val="Aptos Narrow (Body)"/>
    </font>
    <font>
      <b/>
      <sz val="11"/>
      <color rgb="FFFF0000"/>
      <name val="Aptos Narrow (Body)"/>
    </font>
    <font>
      <b/>
      <sz val="12"/>
      <color theme="3" tint="9.9978637043366805E-2"/>
      <name val="Aptos Narrow"/>
      <family val="2"/>
    </font>
    <font>
      <b/>
      <sz val="12"/>
      <color theme="6" tint="-0.499984740745262"/>
      <name val="Aptos Narrow"/>
      <family val="2"/>
    </font>
    <font>
      <b/>
      <sz val="12"/>
      <color rgb="FF153D64"/>
      <name val="Aptos Narrow"/>
      <family val="2"/>
    </font>
    <font>
      <b/>
      <sz val="12"/>
      <color theme="0"/>
      <name val="Aptos Narrow"/>
      <family val="2"/>
    </font>
    <font>
      <sz val="11"/>
      <color theme="1"/>
      <name val="Aptos Narrow"/>
      <family val="2"/>
    </font>
    <font>
      <b/>
      <sz val="11"/>
      <color theme="0"/>
      <name val="Aptos Narrow"/>
      <family val="2"/>
    </font>
    <font>
      <sz val="11"/>
      <color theme="0"/>
      <name val="Aptos Narrow"/>
      <family val="2"/>
      <scheme val="minor"/>
    </font>
    <font>
      <sz val="10"/>
      <color theme="1"/>
      <name val="Aptos Narrow"/>
      <family val="2"/>
      <scheme val="minor"/>
    </font>
    <font>
      <sz val="11"/>
      <color theme="1" tint="0.499984740745262"/>
      <name val="Aptos Narrow"/>
      <family val="2"/>
      <scheme val="minor"/>
    </font>
    <font>
      <sz val="11"/>
      <color theme="3" tint="0.249977111117893"/>
      <name val="Aptos Narrow"/>
      <family val="2"/>
      <scheme val="minor"/>
    </font>
    <font>
      <i/>
      <sz val="11"/>
      <color theme="1" tint="0.34998626667073579"/>
      <name val="Aptos Narrow"/>
      <family val="2"/>
      <scheme val="minor"/>
    </font>
    <font>
      <i/>
      <sz val="10"/>
      <color theme="2" tint="-0.499984740745262"/>
      <name val="Aptos Narrow"/>
      <family val="2"/>
      <scheme val="minor"/>
    </font>
  </fonts>
  <fills count="33">
    <fill>
      <patternFill patternType="none"/>
    </fill>
    <fill>
      <patternFill patternType="gray125"/>
    </fill>
    <fill>
      <patternFill patternType="solid">
        <fgColor theme="5"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AFAD9"/>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59999389629810485"/>
        <bgColor indexed="64"/>
      </patternFill>
    </fill>
    <fill>
      <patternFill patternType="solid">
        <fgColor rgb="FFCAEDFB"/>
        <bgColor rgb="FF000000"/>
      </patternFill>
    </fill>
    <fill>
      <patternFill patternType="solid">
        <fgColor rgb="FFFFC000"/>
        <bgColor indexed="64"/>
      </patternFill>
    </fill>
    <fill>
      <patternFill patternType="solid">
        <fgColor theme="3" tint="0.249977111117893"/>
        <bgColor indexed="64"/>
      </patternFill>
    </fill>
    <fill>
      <patternFill patternType="solid">
        <fgColor theme="6" tint="-0.249977111117893"/>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FFD966"/>
        <bgColor indexed="64"/>
      </patternFill>
    </fill>
    <fill>
      <patternFill patternType="solid">
        <fgColor rgb="FFDEF1FA"/>
        <bgColor indexed="64"/>
      </patternFill>
    </fill>
    <fill>
      <patternFill patternType="solid">
        <fgColor rgb="FFE0FFE6"/>
        <bgColor indexed="64"/>
      </patternFill>
    </fill>
    <fill>
      <patternFill patternType="solid">
        <fgColor rgb="FF002060"/>
        <bgColor indexed="64"/>
      </patternFill>
    </fill>
    <fill>
      <patternFill patternType="solid">
        <fgColor theme="9" tint="0.59999389629810485"/>
        <bgColor indexed="64"/>
      </patternFill>
    </fill>
    <fill>
      <patternFill patternType="solid">
        <fgColor rgb="FFFFE79E"/>
        <bgColor indexed="64"/>
      </patternFill>
    </fill>
    <fill>
      <patternFill patternType="solid">
        <fgColor rgb="FFF03E3E"/>
        <bgColor indexed="64"/>
      </patternFill>
    </fill>
    <fill>
      <patternFill patternType="solid">
        <fgColor theme="8"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D67272"/>
        <bgColor indexed="64"/>
      </patternFill>
    </fill>
    <fill>
      <patternFill patternType="solid">
        <fgColor rgb="FFC00000"/>
        <bgColor indexed="64"/>
      </patternFill>
    </fill>
    <fill>
      <patternFill patternType="solid">
        <fgColor theme="0" tint="-4.9989318521683403E-2"/>
        <bgColor indexed="64"/>
      </patternFill>
    </fill>
    <fill>
      <patternFill patternType="solid">
        <fgColor rgb="FF6B7280"/>
        <bgColor indexed="64"/>
      </patternFill>
    </fill>
    <fill>
      <patternFill patternType="solid">
        <fgColor theme="0"/>
        <bgColor indexed="64"/>
      </patternFill>
    </fill>
    <fill>
      <patternFill patternType="solid">
        <fgColor theme="4" tint="-0.249977111117893"/>
        <bgColor indexed="64"/>
      </patternFill>
    </fill>
    <fill>
      <patternFill patternType="solid">
        <fgColor rgb="FF00B0F0"/>
        <bgColor indexed="64"/>
      </patternFill>
    </fill>
    <fill>
      <patternFill patternType="solid">
        <fgColor rgb="FFFFBAD6"/>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rgb="FF808080"/>
      </left>
      <right style="thin">
        <color rgb="FF808080"/>
      </right>
      <top style="thin">
        <color rgb="FF808080"/>
      </top>
      <bottom style="thin">
        <color rgb="FF808080"/>
      </bottom>
      <diagonal/>
    </border>
    <border>
      <left style="thin">
        <color indexed="64"/>
      </left>
      <right style="thin">
        <color indexed="64"/>
      </right>
      <top style="thin">
        <color indexed="64"/>
      </top>
      <bottom style="thin">
        <color indexed="64"/>
      </bottom>
      <diagonal/>
    </border>
    <border>
      <left style="thin">
        <color rgb="FFCC9A02"/>
      </left>
      <right style="thin">
        <color rgb="FFCC9A02"/>
      </right>
      <top style="thin">
        <color rgb="FFCC9A02"/>
      </top>
      <bottom style="thin">
        <color rgb="FFCC9A02"/>
      </bottom>
      <diagonal/>
    </border>
    <border>
      <left style="thin">
        <color theme="3" tint="9.9978637043366805E-2"/>
      </left>
      <right style="thin">
        <color theme="3" tint="9.9978637043366805E-2"/>
      </right>
      <top style="thin">
        <color theme="3" tint="9.9978637043366805E-2"/>
      </top>
      <bottom style="thin">
        <color theme="3" tint="9.9978637043366805E-2"/>
      </bottom>
      <diagonal/>
    </border>
    <border>
      <left style="thin">
        <color rgb="FFCC9A02"/>
      </left>
      <right/>
      <top style="thin">
        <color rgb="FFCC9A02"/>
      </top>
      <bottom style="thin">
        <color rgb="FFCC9A02"/>
      </bottom>
      <diagonal/>
    </border>
    <border>
      <left style="thin">
        <color theme="6" tint="-0.499984740745262"/>
      </left>
      <right style="thin">
        <color theme="6" tint="-0.499984740745262"/>
      </right>
      <top style="thin">
        <color theme="6" tint="-0.499984740745262"/>
      </top>
      <bottom style="thin">
        <color theme="6" tint="-0.499984740745262"/>
      </bottom>
      <diagonal/>
    </border>
    <border>
      <left style="thin">
        <color theme="3" tint="9.9978637043366805E-2"/>
      </left>
      <right/>
      <top style="thin">
        <color theme="3" tint="9.9978637043366805E-2"/>
      </top>
      <bottom style="thin">
        <color theme="3" tint="9.9978637043366805E-2"/>
      </bottom>
      <diagonal/>
    </border>
    <border>
      <left style="thin">
        <color rgb="FFCC9A02"/>
      </left>
      <right style="thin">
        <color rgb="FFCC9A02"/>
      </right>
      <top style="thin">
        <color rgb="FFCC9A02"/>
      </top>
      <bottom/>
      <diagonal/>
    </border>
    <border>
      <left style="thin">
        <color theme="3" tint="9.9978637043366805E-2"/>
      </left>
      <right style="thin">
        <color theme="3" tint="9.9978637043366805E-2"/>
      </right>
      <top style="thin">
        <color theme="3" tint="9.9978637043366805E-2"/>
      </top>
      <bottom/>
      <diagonal/>
    </border>
    <border>
      <left style="thin">
        <color theme="3" tint="9.9978637043366805E-2"/>
      </left>
      <right/>
      <top style="thin">
        <color theme="3" tint="9.9978637043366805E-2"/>
      </top>
      <bottom/>
      <diagonal/>
    </border>
    <border>
      <left style="thin">
        <color theme="6" tint="-0.499984740745262"/>
      </left>
      <right style="thin">
        <color theme="6" tint="-0.499984740745262"/>
      </right>
      <top style="thin">
        <color theme="6" tint="-0.499984740745262"/>
      </top>
      <bottom/>
      <diagonal/>
    </border>
    <border>
      <left style="thin">
        <color rgb="FFCC9A02"/>
      </left>
      <right style="thin">
        <color rgb="FFCC9A02"/>
      </right>
      <top/>
      <bottom style="thin">
        <color rgb="FFCC9A02"/>
      </bottom>
      <diagonal/>
    </border>
    <border>
      <left style="thin">
        <color theme="3" tint="9.9978637043366805E-2"/>
      </left>
      <right style="thin">
        <color theme="3" tint="9.9978637043366805E-2"/>
      </right>
      <top/>
      <bottom style="thin">
        <color theme="3" tint="9.9978637043366805E-2"/>
      </bottom>
      <diagonal/>
    </border>
    <border>
      <left style="thin">
        <color theme="3" tint="9.9978637043366805E-2"/>
      </left>
      <right/>
      <top/>
      <bottom style="thin">
        <color theme="3" tint="9.9978637043366805E-2"/>
      </bottom>
      <diagonal/>
    </border>
    <border>
      <left style="thin">
        <color theme="6" tint="-0.499984740745262"/>
      </left>
      <right style="thin">
        <color theme="6" tint="-0.499984740745262"/>
      </right>
      <top/>
      <bottom style="thin">
        <color theme="6" tint="-0.499984740745262"/>
      </bottom>
      <diagonal/>
    </border>
    <border>
      <left/>
      <right style="thin">
        <color rgb="FF000000"/>
      </right>
      <top/>
      <bottom/>
      <diagonal/>
    </border>
    <border>
      <left/>
      <right style="medium">
        <color theme="2" tint="-0.499984740745262"/>
      </right>
      <top/>
      <bottom/>
      <diagonal/>
    </border>
    <border>
      <left/>
      <right/>
      <top style="thin">
        <color theme="3" tint="9.9978637043366805E-2"/>
      </top>
      <bottom style="thin">
        <color theme="3" tint="9.9978637043366805E-2"/>
      </bottom>
      <diagonal/>
    </border>
    <border>
      <left/>
      <right style="thin">
        <color theme="6" tint="-0.499984740745262"/>
      </right>
      <top style="thin">
        <color theme="3" tint="9.9978637043366805E-2"/>
      </top>
      <bottom style="thin">
        <color theme="3" tint="9.9978637043366805E-2"/>
      </bottom>
      <diagonal/>
    </border>
    <border>
      <left style="thin">
        <color rgb="FFD8DCE4"/>
      </left>
      <right style="thin">
        <color rgb="FFD8DCE4"/>
      </right>
      <top style="thin">
        <color rgb="FFD8DCE4"/>
      </top>
      <bottom style="thin">
        <color rgb="FFD8DCE4"/>
      </bottom>
      <diagonal/>
    </border>
  </borders>
  <cellStyleXfs count="2">
    <xf numFmtId="0" fontId="0" fillId="0" borderId="0"/>
    <xf numFmtId="0" fontId="2" fillId="0" borderId="0" applyNumberFormat="0" applyFill="0" applyBorder="0" applyAlignment="0" applyProtection="0"/>
  </cellStyleXfs>
  <cellXfs count="163">
    <xf numFmtId="0" fontId="0" fillId="0" borderId="0" xfId="0"/>
    <xf numFmtId="0" fontId="27" fillId="18" borderId="0" xfId="0" applyFont="1" applyFill="1" applyAlignment="1">
      <alignment horizontal="center" vertical="center" wrapText="1"/>
    </xf>
    <xf numFmtId="0" fontId="0" fillId="0" borderId="0" xfId="0" applyAlignment="1">
      <alignment wrapText="1"/>
    </xf>
    <xf numFmtId="0" fontId="1" fillId="2" borderId="1" xfId="0" applyFont="1" applyFill="1" applyBorder="1"/>
    <xf numFmtId="0" fontId="1" fillId="2" borderId="1" xfId="0" applyFont="1" applyFill="1" applyBorder="1" applyAlignment="1">
      <alignment wrapText="1"/>
    </xf>
    <xf numFmtId="0" fontId="0" fillId="0" borderId="1" xfId="0" applyBorder="1"/>
    <xf numFmtId="0" fontId="0" fillId="0" borderId="1" xfId="0" applyBorder="1" applyAlignment="1">
      <alignment wrapText="1"/>
    </xf>
    <xf numFmtId="0" fontId="0" fillId="0" borderId="2" xfId="0" applyBorder="1"/>
    <xf numFmtId="0" fontId="0" fillId="0" borderId="2" xfId="0" applyBorder="1" applyAlignment="1">
      <alignment wrapText="1"/>
    </xf>
    <xf numFmtId="0" fontId="0" fillId="0" borderId="0" xfId="0" applyAlignment="1">
      <alignment horizontal="left" vertical="center"/>
    </xf>
    <xf numFmtId="0" fontId="0" fillId="0" borderId="0" xfId="0" applyAlignment="1">
      <alignment horizontal="left" vertical="center" wrapText="1"/>
    </xf>
    <xf numFmtId="0" fontId="0" fillId="0" borderId="3" xfId="0" applyBorder="1" applyAlignment="1">
      <alignment horizontal="left" vertical="center" wrapText="1"/>
    </xf>
    <xf numFmtId="0" fontId="0" fillId="3" borderId="3" xfId="0" applyFill="1" applyBorder="1" applyAlignment="1">
      <alignment horizontal="left" vertical="center" wrapText="1"/>
    </xf>
    <xf numFmtId="0" fontId="0" fillId="4" borderId="0" xfId="0" applyFill="1" applyAlignment="1">
      <alignment horizontal="left" vertical="center"/>
    </xf>
    <xf numFmtId="0" fontId="0" fillId="5" borderId="0" xfId="0" applyFill="1" applyAlignment="1">
      <alignment horizontal="left" vertical="center"/>
    </xf>
    <xf numFmtId="0" fontId="0" fillId="6" borderId="3" xfId="0" applyFill="1" applyBorder="1" applyAlignment="1">
      <alignment horizontal="left" vertical="center" wrapText="1"/>
    </xf>
    <xf numFmtId="0" fontId="0" fillId="6" borderId="0" xfId="0" applyFill="1" applyAlignment="1">
      <alignment horizontal="left" vertical="center"/>
    </xf>
    <xf numFmtId="0" fontId="0" fillId="3" borderId="0" xfId="0" applyFill="1" applyAlignment="1">
      <alignment horizontal="left" vertical="center"/>
    </xf>
    <xf numFmtId="0" fontId="5" fillId="7" borderId="3" xfId="0" applyFont="1" applyFill="1" applyBorder="1" applyAlignment="1">
      <alignment horizontal="left" vertical="center" wrapText="1"/>
    </xf>
    <xf numFmtId="0" fontId="6" fillId="7" borderId="3" xfId="1" applyFont="1" applyFill="1" applyBorder="1" applyAlignment="1">
      <alignment horizontal="left" vertical="center" wrapText="1"/>
    </xf>
    <xf numFmtId="0" fontId="5" fillId="7" borderId="0" xfId="0" applyFont="1" applyFill="1" applyAlignment="1">
      <alignment horizontal="left" vertical="center"/>
    </xf>
    <xf numFmtId="0" fontId="2" fillId="3" borderId="3" xfId="1" applyFill="1" applyBorder="1" applyAlignment="1">
      <alignment horizontal="left" vertical="center" wrapText="1"/>
    </xf>
    <xf numFmtId="0" fontId="0" fillId="8" borderId="3" xfId="0" applyFill="1" applyBorder="1" applyAlignment="1">
      <alignment horizontal="left" vertical="center" wrapText="1"/>
    </xf>
    <xf numFmtId="0" fontId="7" fillId="9" borderId="4" xfId="0" applyFont="1" applyFill="1" applyBorder="1" applyAlignment="1">
      <alignment horizontal="left" vertical="center" wrapText="1"/>
    </xf>
    <xf numFmtId="0" fontId="7" fillId="9" borderId="4" xfId="0" applyFont="1" applyFill="1" applyBorder="1" applyAlignment="1">
      <alignment vertical="center" wrapText="1"/>
    </xf>
    <xf numFmtId="0" fontId="9" fillId="13" borderId="5" xfId="0" applyFont="1" applyFill="1" applyBorder="1" applyAlignment="1">
      <alignment horizontal="center" vertical="center"/>
    </xf>
    <xf numFmtId="0" fontId="9" fillId="14" borderId="5" xfId="0" applyFont="1" applyFill="1" applyBorder="1" applyAlignment="1">
      <alignment horizontal="center" vertical="center"/>
    </xf>
    <xf numFmtId="0" fontId="9" fillId="0" borderId="5" xfId="0" applyFont="1" applyBorder="1" applyAlignment="1">
      <alignment horizontal="left" vertical="center"/>
    </xf>
    <xf numFmtId="0" fontId="0" fillId="0" borderId="5" xfId="0" applyBorder="1" applyAlignment="1">
      <alignment horizontal="left" vertical="center" wrapText="1"/>
    </xf>
    <xf numFmtId="0" fontId="9" fillId="0" borderId="0" xfId="0" applyFont="1"/>
    <xf numFmtId="0" fontId="5" fillId="10" borderId="1" xfId="0" applyFont="1" applyFill="1" applyBorder="1"/>
    <xf numFmtId="0" fontId="5" fillId="10" borderId="1" xfId="0" applyFont="1" applyFill="1" applyBorder="1" applyAlignment="1">
      <alignment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5" fillId="15" borderId="6" xfId="0" applyFont="1" applyFill="1" applyBorder="1" applyAlignment="1">
      <alignment horizontal="center" vertical="center" wrapText="1"/>
    </xf>
    <xf numFmtId="0" fontId="5" fillId="15" borderId="8" xfId="0" applyFont="1" applyFill="1" applyBorder="1" applyAlignment="1">
      <alignment horizontal="center" vertical="center" wrapText="1"/>
    </xf>
    <xf numFmtId="0" fontId="12" fillId="5" borderId="6" xfId="0" applyFont="1" applyFill="1" applyBorder="1" applyAlignment="1">
      <alignment horizontal="center" vertical="center" wrapText="1"/>
    </xf>
    <xf numFmtId="0" fontId="12" fillId="5" borderId="8" xfId="0" applyFont="1" applyFill="1" applyBorder="1" applyAlignment="1">
      <alignment horizontal="center" vertical="center" wrapText="1"/>
    </xf>
    <xf numFmtId="0" fontId="0" fillId="0" borderId="1" xfId="0" quotePrefix="1" applyBorder="1" applyAlignment="1">
      <alignment horizontal="center" vertical="center" wrapText="1"/>
    </xf>
    <xf numFmtId="0" fontId="12" fillId="5" borderId="8" xfId="0" applyFont="1" applyFill="1" applyBorder="1" applyAlignment="1">
      <alignment horizontal="left" vertical="center" wrapText="1"/>
    </xf>
    <xf numFmtId="0" fontId="0" fillId="0" borderId="0" xfId="0" applyAlignment="1">
      <alignment horizontal="left"/>
    </xf>
    <xf numFmtId="0" fontId="12" fillId="5" borderId="8" xfId="0" applyFont="1" applyFill="1" applyBorder="1" applyAlignment="1">
      <alignment vertical="center" wrapText="1"/>
    </xf>
    <xf numFmtId="0" fontId="11" fillId="16" borderId="10" xfId="0" applyFont="1" applyFill="1" applyBorder="1" applyAlignment="1">
      <alignment horizontal="center" vertical="center" wrapText="1"/>
    </xf>
    <xf numFmtId="0" fontId="10" fillId="17" borderId="9" xfId="0" applyFont="1" applyFill="1" applyBorder="1" applyAlignment="1">
      <alignment horizontal="center" vertical="center" wrapText="1"/>
    </xf>
    <xf numFmtId="0" fontId="12" fillId="5" borderId="6" xfId="0" applyFont="1" applyFill="1" applyBorder="1" applyAlignment="1">
      <alignment horizontal="left" vertical="center" wrapText="1"/>
    </xf>
    <xf numFmtId="0" fontId="12" fillId="5" borderId="15" xfId="0" applyFont="1" applyFill="1" applyBorder="1" applyAlignment="1">
      <alignment horizontal="center" vertical="center" wrapText="1"/>
    </xf>
    <xf numFmtId="0" fontId="12" fillId="5" borderId="15" xfId="0" applyFont="1" applyFill="1" applyBorder="1" applyAlignment="1">
      <alignment horizontal="left" vertical="center" wrapText="1"/>
    </xf>
    <xf numFmtId="0" fontId="14" fillId="5" borderId="8" xfId="0" applyFont="1" applyFill="1" applyBorder="1" applyAlignment="1">
      <alignment horizontal="left" vertical="center" wrapText="1"/>
    </xf>
    <xf numFmtId="0" fontId="11" fillId="16" borderId="7" xfId="0" applyFont="1" applyFill="1" applyBorder="1" applyAlignment="1">
      <alignment horizontal="left" vertical="center" wrapText="1"/>
    </xf>
    <xf numFmtId="0" fontId="11" fillId="16" borderId="10" xfId="0" applyFont="1" applyFill="1" applyBorder="1" applyAlignment="1">
      <alignment horizontal="left" vertical="center" wrapText="1"/>
    </xf>
    <xf numFmtId="0" fontId="10" fillId="17" borderId="9" xfId="0" applyFont="1" applyFill="1" applyBorder="1" applyAlignment="1">
      <alignment horizontal="left" vertical="center" wrapText="1"/>
    </xf>
    <xf numFmtId="0" fontId="17" fillId="16" borderId="7" xfId="0" applyFont="1" applyFill="1" applyBorder="1" applyAlignment="1">
      <alignment horizontal="left" vertical="center" wrapText="1"/>
    </xf>
    <xf numFmtId="0" fontId="19" fillId="16" borderId="7" xfId="0" applyFont="1" applyFill="1" applyBorder="1" applyAlignment="1">
      <alignment horizontal="left" vertical="center" wrapText="1"/>
    </xf>
    <xf numFmtId="0" fontId="15" fillId="16" borderId="7" xfId="0" applyFont="1" applyFill="1" applyBorder="1" applyAlignment="1">
      <alignment horizontal="left" vertical="center" wrapText="1"/>
    </xf>
    <xf numFmtId="0" fontId="0" fillId="0" borderId="0" xfId="0" applyAlignment="1">
      <alignment vertical="center" wrapText="1"/>
    </xf>
    <xf numFmtId="0" fontId="13" fillId="17" borderId="9" xfId="0" applyFont="1" applyFill="1" applyBorder="1" applyAlignment="1">
      <alignment horizontal="left" vertical="center" wrapText="1"/>
    </xf>
    <xf numFmtId="0" fontId="16" fillId="16" borderId="7" xfId="0" applyFont="1" applyFill="1" applyBorder="1" applyAlignment="1">
      <alignment horizontal="left" vertical="center" wrapText="1"/>
    </xf>
    <xf numFmtId="0" fontId="18" fillId="17" borderId="9" xfId="0" applyFont="1" applyFill="1" applyBorder="1" applyAlignment="1">
      <alignment horizontal="left" vertical="center" wrapText="1"/>
    </xf>
    <xf numFmtId="0" fontId="21" fillId="16" borderId="7" xfId="0" applyFont="1" applyFill="1" applyBorder="1" applyAlignment="1">
      <alignment horizontal="left" vertical="center" wrapText="1"/>
    </xf>
    <xf numFmtId="0" fontId="21" fillId="16" borderId="10" xfId="0" applyFont="1" applyFill="1" applyBorder="1" applyAlignment="1">
      <alignment horizontal="left" vertical="center" wrapText="1"/>
    </xf>
    <xf numFmtId="0" fontId="22" fillId="17" borderId="9" xfId="0" applyFont="1" applyFill="1" applyBorder="1" applyAlignment="1">
      <alignment horizontal="left" vertical="center" wrapText="1"/>
    </xf>
    <xf numFmtId="0" fontId="23" fillId="16" borderId="10" xfId="0" applyFont="1" applyFill="1" applyBorder="1" applyAlignment="1">
      <alignment horizontal="left" vertical="center" wrapText="1"/>
    </xf>
    <xf numFmtId="0" fontId="24" fillId="10" borderId="8" xfId="0" applyFont="1" applyFill="1" applyBorder="1" applyAlignment="1">
      <alignment horizontal="center" vertical="center"/>
    </xf>
    <xf numFmtId="0" fontId="25" fillId="0" borderId="0" xfId="0" applyFont="1"/>
    <xf numFmtId="0" fontId="26" fillId="15" borderId="6" xfId="0" applyFont="1" applyFill="1" applyBorder="1" applyAlignment="1">
      <alignment horizontal="center" vertical="center" wrapText="1"/>
    </xf>
    <xf numFmtId="0" fontId="26" fillId="15" borderId="8" xfId="0" applyFont="1" applyFill="1" applyBorder="1" applyAlignment="1">
      <alignment horizontal="center" vertical="center" wrapText="1"/>
    </xf>
    <xf numFmtId="0" fontId="24" fillId="13" borderId="7" xfId="0" applyFont="1" applyFill="1" applyBorder="1" applyAlignment="1">
      <alignment horizontal="center" vertical="center"/>
    </xf>
    <xf numFmtId="0" fontId="24" fillId="13" borderId="10" xfId="0" applyFont="1" applyFill="1" applyBorder="1" applyAlignment="1">
      <alignment horizontal="center" vertical="center"/>
    </xf>
    <xf numFmtId="0" fontId="24" fillId="14" borderId="9" xfId="0" applyFont="1" applyFill="1" applyBorder="1" applyAlignment="1">
      <alignment horizontal="center" vertical="center"/>
    </xf>
    <xf numFmtId="0" fontId="14" fillId="5" borderId="6" xfId="0" applyFont="1" applyFill="1" applyBorder="1" applyAlignment="1">
      <alignment horizontal="center" vertical="center" wrapText="1"/>
    </xf>
    <xf numFmtId="0" fontId="14" fillId="5" borderId="8" xfId="0" applyFont="1" applyFill="1" applyBorder="1" applyAlignment="1">
      <alignment vertical="center" wrapText="1"/>
    </xf>
    <xf numFmtId="0" fontId="25" fillId="0" borderId="0" xfId="0" applyFont="1" applyAlignment="1">
      <alignment vertical="center" wrapText="1"/>
    </xf>
    <xf numFmtId="0" fontId="25" fillId="0" borderId="0" xfId="0" applyFont="1" applyAlignment="1">
      <alignment wrapText="1"/>
    </xf>
    <xf numFmtId="0" fontId="14" fillId="5" borderId="8" xfId="0" applyFont="1" applyFill="1" applyBorder="1" applyAlignment="1">
      <alignment horizontal="center" vertical="center" wrapText="1"/>
    </xf>
    <xf numFmtId="0" fontId="21" fillId="16" borderId="7" xfId="0" applyFont="1" applyFill="1" applyBorder="1" applyAlignment="1">
      <alignment horizontal="center" vertical="center"/>
    </xf>
    <xf numFmtId="0" fontId="21" fillId="16" borderId="10" xfId="0" applyFont="1" applyFill="1" applyBorder="1" applyAlignment="1">
      <alignment horizontal="center" vertical="center"/>
    </xf>
    <xf numFmtId="0" fontId="22" fillId="17" borderId="9" xfId="0" applyFont="1" applyFill="1" applyBorder="1" applyAlignment="1">
      <alignment horizontal="center" vertical="center"/>
    </xf>
    <xf numFmtId="0" fontId="8" fillId="13" borderId="7" xfId="0" applyFont="1" applyFill="1" applyBorder="1" applyAlignment="1">
      <alignment horizontal="center" vertical="center" wrapText="1"/>
    </xf>
    <xf numFmtId="0" fontId="8" fillId="13" borderId="10" xfId="0" applyFont="1" applyFill="1" applyBorder="1" applyAlignment="1">
      <alignment horizontal="center" vertical="center" wrapText="1"/>
    </xf>
    <xf numFmtId="0" fontId="8" fillId="14" borderId="9" xfId="0" applyFont="1" applyFill="1" applyBorder="1" applyAlignment="1">
      <alignment horizontal="center" vertical="center" wrapText="1"/>
    </xf>
    <xf numFmtId="0" fontId="11" fillId="16" borderId="7" xfId="0" applyFont="1" applyFill="1" applyBorder="1" applyAlignment="1">
      <alignment horizontal="center" vertical="center" wrapText="1"/>
    </xf>
    <xf numFmtId="0" fontId="0" fillId="0" borderId="0" xfId="0" applyAlignment="1">
      <alignment horizontal="left" wrapText="1"/>
    </xf>
    <xf numFmtId="0" fontId="8" fillId="13" borderId="7" xfId="0" applyFont="1" applyFill="1" applyBorder="1" applyAlignment="1">
      <alignment horizontal="left" vertical="center" wrapText="1"/>
    </xf>
    <xf numFmtId="0" fontId="0" fillId="20" borderId="0" xfId="0" applyFill="1" applyAlignment="1">
      <alignment horizontal="center" vertical="center" wrapText="1"/>
    </xf>
    <xf numFmtId="0" fontId="0" fillId="21" borderId="0" xfId="0" applyFill="1" applyAlignment="1">
      <alignment horizontal="center" vertical="center" wrapText="1"/>
    </xf>
    <xf numFmtId="0" fontId="0" fillId="19" borderId="0" xfId="0" applyFill="1" applyAlignment="1">
      <alignment horizontal="left" vertical="center" wrapText="1"/>
    </xf>
    <xf numFmtId="0" fontId="0" fillId="20" borderId="0" xfId="0" applyFill="1" applyAlignment="1">
      <alignment horizontal="left" vertical="center" wrapText="1"/>
    </xf>
    <xf numFmtId="0" fontId="0" fillId="21" borderId="0" xfId="0" applyFill="1" applyAlignment="1">
      <alignment horizontal="left" vertical="center" wrapText="1"/>
    </xf>
    <xf numFmtId="0" fontId="0" fillId="22" borderId="0" xfId="0" applyFill="1" applyAlignment="1">
      <alignment vertical="center" wrapText="1"/>
    </xf>
    <xf numFmtId="0" fontId="0" fillId="23" borderId="0" xfId="0" applyFill="1" applyAlignment="1">
      <alignment vertical="center" wrapText="1"/>
    </xf>
    <xf numFmtId="9" fontId="0" fillId="21" borderId="0" xfId="0" applyNumberFormat="1" applyFill="1" applyAlignment="1">
      <alignment horizontal="left" vertical="center" wrapText="1"/>
    </xf>
    <xf numFmtId="9" fontId="0" fillId="19" borderId="0" xfId="0" applyNumberFormat="1" applyFill="1" applyAlignment="1">
      <alignment horizontal="left" vertical="center" wrapText="1"/>
    </xf>
    <xf numFmtId="0" fontId="0" fillId="24" borderId="0" xfId="0" applyFill="1" applyAlignment="1">
      <alignment vertical="center" wrapText="1"/>
    </xf>
    <xf numFmtId="0" fontId="0" fillId="19" borderId="0" xfId="0" applyFill="1" applyAlignment="1">
      <alignment horizontal="center" vertical="center" wrapText="1"/>
    </xf>
    <xf numFmtId="0" fontId="0" fillId="25" borderId="0" xfId="0" applyFill="1" applyAlignment="1">
      <alignment vertical="center" wrapText="1"/>
    </xf>
    <xf numFmtId="0" fontId="0" fillId="25" borderId="0" xfId="0" applyFill="1" applyAlignment="1">
      <alignment horizontal="left" vertical="center" wrapText="1"/>
    </xf>
    <xf numFmtId="9" fontId="0" fillId="20" borderId="0" xfId="0" applyNumberFormat="1" applyFill="1" applyAlignment="1">
      <alignment horizontal="left" vertical="center" wrapText="1"/>
    </xf>
    <xf numFmtId="9" fontId="0" fillId="19" borderId="0" xfId="0" applyNumberFormat="1" applyFill="1" applyAlignment="1">
      <alignment horizontal="center" vertical="center" wrapText="1"/>
    </xf>
    <xf numFmtId="0" fontId="5" fillId="26" borderId="0" xfId="0" applyFont="1" applyFill="1" applyAlignment="1">
      <alignment vertical="center" wrapText="1"/>
    </xf>
    <xf numFmtId="0" fontId="5" fillId="26" borderId="0" xfId="0" applyFont="1" applyFill="1" applyAlignment="1">
      <alignment horizontal="left" vertical="center" wrapText="1"/>
    </xf>
    <xf numFmtId="0" fontId="28" fillId="0" borderId="0" xfId="0" applyFont="1" applyAlignment="1">
      <alignment vertical="center" wrapText="1"/>
    </xf>
    <xf numFmtId="0" fontId="0" fillId="0" borderId="0" xfId="0" applyAlignment="1">
      <alignment horizontal="center" vertical="center" wrapText="1"/>
    </xf>
    <xf numFmtId="0" fontId="29" fillId="27" borderId="0" xfId="0" applyFont="1" applyFill="1" applyAlignment="1">
      <alignment vertical="center" wrapText="1"/>
    </xf>
    <xf numFmtId="0" fontId="27" fillId="28" borderId="0" xfId="0" applyFont="1" applyFill="1" applyAlignment="1">
      <alignment horizontal="center" vertical="center" wrapText="1"/>
    </xf>
    <xf numFmtId="0" fontId="0" fillId="29" borderId="0" xfId="0" applyFill="1" applyAlignment="1">
      <alignment horizontal="left" vertical="center" wrapText="1"/>
    </xf>
    <xf numFmtId="0" fontId="27" fillId="18" borderId="0" xfId="0" applyFont="1" applyFill="1" applyAlignment="1">
      <alignment horizontal="left" vertical="center" wrapText="1"/>
    </xf>
    <xf numFmtId="0" fontId="0" fillId="29" borderId="0" xfId="0" applyFill="1" applyAlignment="1">
      <alignment vertical="center" wrapText="1"/>
    </xf>
    <xf numFmtId="0" fontId="27" fillId="29" borderId="0" xfId="0" applyFont="1" applyFill="1" applyAlignment="1">
      <alignment horizontal="center" vertical="center" wrapText="1"/>
    </xf>
    <xf numFmtId="14" fontId="0" fillId="29" borderId="0" xfId="0" applyNumberFormat="1" applyFill="1" applyAlignment="1">
      <alignment vertical="center" wrapText="1"/>
    </xf>
    <xf numFmtId="0" fontId="27" fillId="18" borderId="19" xfId="0" applyFont="1" applyFill="1" applyBorder="1" applyAlignment="1">
      <alignment horizontal="center" vertical="center" wrapText="1"/>
    </xf>
    <xf numFmtId="14" fontId="0" fillId="0" borderId="20" xfId="0" applyNumberFormat="1" applyBorder="1" applyAlignment="1">
      <alignment vertical="center" wrapText="1"/>
    </xf>
    <xf numFmtId="0" fontId="30" fillId="0" borderId="0" xfId="0" applyFont="1" applyAlignment="1">
      <alignment horizontal="center" vertical="center" wrapText="1"/>
    </xf>
    <xf numFmtId="0" fontId="2" fillId="0" borderId="0" xfId="1" applyAlignment="1">
      <alignment vertical="center"/>
    </xf>
    <xf numFmtId="9" fontId="29" fillId="27" borderId="0" xfId="0" applyNumberFormat="1" applyFont="1" applyFill="1" applyAlignment="1">
      <alignment vertical="center" wrapText="1"/>
    </xf>
    <xf numFmtId="0" fontId="29" fillId="16" borderId="0" xfId="0" applyFont="1" applyFill="1" applyAlignment="1">
      <alignment horizontal="right" vertical="center" wrapText="1"/>
    </xf>
    <xf numFmtId="0" fontId="0" fillId="16" borderId="0" xfId="0" applyFill="1" applyAlignment="1">
      <alignment vertical="center" wrapText="1"/>
    </xf>
    <xf numFmtId="10" fontId="0" fillId="0" borderId="0" xfId="0" applyNumberFormat="1" applyAlignment="1">
      <alignment horizontal="center" vertical="center" wrapText="1"/>
    </xf>
    <xf numFmtId="9" fontId="0" fillId="0" borderId="0" xfId="0" applyNumberFormat="1" applyAlignment="1">
      <alignment horizontal="center" vertical="center" wrapText="1"/>
    </xf>
    <xf numFmtId="0" fontId="8" fillId="10" borderId="8" xfId="0" applyFont="1" applyFill="1" applyBorder="1" applyAlignment="1">
      <alignment horizontal="center" vertical="center" wrapText="1"/>
    </xf>
    <xf numFmtId="0" fontId="0" fillId="6" borderId="0" xfId="0" applyFill="1" applyAlignment="1">
      <alignment vertical="center" wrapText="1"/>
    </xf>
    <xf numFmtId="0" fontId="8" fillId="10" borderId="0" xfId="0" applyFont="1" applyFill="1" applyAlignment="1">
      <alignment horizontal="center" vertical="center"/>
    </xf>
    <xf numFmtId="0" fontId="8" fillId="13" borderId="5" xfId="0" applyFont="1" applyFill="1" applyBorder="1" applyAlignment="1">
      <alignment horizontal="center" vertical="center" wrapText="1"/>
    </xf>
    <xf numFmtId="0" fontId="8" fillId="14" borderId="5" xfId="0" applyFont="1" applyFill="1" applyBorder="1" applyAlignment="1">
      <alignment horizontal="center" vertical="center" wrapText="1"/>
    </xf>
    <xf numFmtId="0" fontId="11" fillId="16" borderId="16" xfId="0" applyFont="1" applyFill="1" applyBorder="1" applyAlignment="1">
      <alignment horizontal="left" vertical="center" wrapText="1"/>
    </xf>
    <xf numFmtId="0" fontId="11" fillId="16" borderId="17" xfId="0" applyFont="1" applyFill="1" applyBorder="1" applyAlignment="1">
      <alignment horizontal="left" vertical="center" wrapText="1"/>
    </xf>
    <xf numFmtId="0" fontId="10" fillId="17" borderId="18" xfId="0" applyFont="1" applyFill="1" applyBorder="1" applyAlignment="1">
      <alignment horizontal="left" vertical="center"/>
    </xf>
    <xf numFmtId="0" fontId="10" fillId="17" borderId="9" xfId="0" applyFont="1" applyFill="1" applyBorder="1" applyAlignment="1">
      <alignment vertical="center" wrapText="1"/>
    </xf>
    <xf numFmtId="0" fontId="11" fillId="16" borderId="10" xfId="0" applyFont="1" applyFill="1" applyBorder="1" applyAlignment="1">
      <alignment horizontal="left" vertical="center"/>
    </xf>
    <xf numFmtId="0" fontId="10" fillId="17" borderId="9" xfId="0" applyFont="1" applyFill="1" applyBorder="1" applyAlignment="1">
      <alignment horizontal="left" vertical="center"/>
    </xf>
    <xf numFmtId="0" fontId="10" fillId="16" borderId="10" xfId="0" applyFont="1" applyFill="1" applyBorder="1" applyAlignment="1">
      <alignment horizontal="left" vertical="center" wrapText="1"/>
    </xf>
    <xf numFmtId="10" fontId="2" fillId="0" borderId="0" xfId="1" applyNumberFormat="1" applyAlignment="1">
      <alignment horizontal="center" vertical="center" wrapText="1"/>
    </xf>
    <xf numFmtId="0" fontId="2" fillId="0" borderId="0" xfId="1" applyAlignment="1">
      <alignment vertical="center" wrapText="1"/>
    </xf>
    <xf numFmtId="0" fontId="2" fillId="0" borderId="0" xfId="1"/>
    <xf numFmtId="10" fontId="0" fillId="31" borderId="0" xfId="0" applyNumberFormat="1" applyFill="1" applyAlignment="1">
      <alignment horizontal="center" vertical="center" wrapText="1"/>
    </xf>
    <xf numFmtId="0" fontId="0" fillId="31" borderId="0" xfId="0" applyFill="1" applyAlignment="1">
      <alignment horizontal="center" vertical="center" wrapText="1"/>
    </xf>
    <xf numFmtId="0" fontId="2" fillId="0" borderId="23" xfId="1" applyBorder="1" applyAlignment="1">
      <alignment vertical="center" wrapText="1"/>
    </xf>
    <xf numFmtId="0" fontId="0" fillId="29" borderId="0" xfId="0" applyFill="1" applyAlignment="1">
      <alignment horizontal="center" vertical="center" wrapText="1"/>
    </xf>
    <xf numFmtId="9" fontId="0" fillId="20" borderId="0" xfId="0" applyNumberFormat="1" applyFill="1" applyAlignment="1">
      <alignment horizontal="center" vertical="center" wrapText="1"/>
    </xf>
    <xf numFmtId="9" fontId="0" fillId="21" borderId="0" xfId="0" applyNumberFormat="1" applyFill="1" applyAlignment="1">
      <alignment horizontal="center" vertical="center" wrapText="1"/>
    </xf>
    <xf numFmtId="9" fontId="29" fillId="27" borderId="0" xfId="0" applyNumberFormat="1" applyFont="1" applyFill="1" applyAlignment="1">
      <alignment horizontal="left" vertical="center" wrapText="1" indent="6"/>
    </xf>
    <xf numFmtId="0" fontId="0" fillId="32" borderId="0" xfId="0" applyFill="1" applyAlignment="1">
      <alignment vertical="center" wrapText="1"/>
    </xf>
    <xf numFmtId="0" fontId="27" fillId="18" borderId="0" xfId="0" applyFont="1" applyFill="1" applyAlignment="1">
      <alignment horizontal="center" vertical="center" wrapText="1"/>
    </xf>
    <xf numFmtId="0" fontId="31" fillId="0" borderId="0" xfId="0" applyFont="1" applyAlignment="1">
      <alignment horizontal="left" vertical="center"/>
    </xf>
    <xf numFmtId="0" fontId="32" fillId="0" borderId="0" xfId="0" applyFont="1" applyAlignment="1">
      <alignment horizontal="left" vertical="center" wrapText="1"/>
    </xf>
    <xf numFmtId="0" fontId="27" fillId="30" borderId="0" xfId="0" applyFont="1" applyFill="1" applyAlignment="1">
      <alignment horizontal="center" vertical="center" wrapText="1"/>
    </xf>
    <xf numFmtId="0" fontId="0" fillId="0" borderId="5" xfId="0" applyBorder="1" applyAlignment="1">
      <alignment horizontal="center"/>
    </xf>
    <xf numFmtId="0" fontId="8" fillId="11" borderId="5" xfId="0" applyFont="1" applyFill="1" applyBorder="1" applyAlignment="1">
      <alignment horizontal="center" vertical="center"/>
    </xf>
    <xf numFmtId="0" fontId="8" fillId="12" borderId="5" xfId="0" applyFont="1" applyFill="1" applyBorder="1" applyAlignment="1">
      <alignment horizontal="center" vertical="center"/>
    </xf>
    <xf numFmtId="0" fontId="8" fillId="10" borderId="11" xfId="0" applyFont="1" applyFill="1" applyBorder="1" applyAlignment="1">
      <alignment horizontal="center" vertical="center"/>
    </xf>
    <xf numFmtId="0" fontId="8" fillId="11" borderId="12" xfId="0" applyFont="1" applyFill="1" applyBorder="1" applyAlignment="1">
      <alignment horizontal="center" vertical="center"/>
    </xf>
    <xf numFmtId="0" fontId="8" fillId="11" borderId="13" xfId="0" applyFont="1" applyFill="1" applyBorder="1" applyAlignment="1">
      <alignment horizontal="center" vertical="center"/>
    </xf>
    <xf numFmtId="0" fontId="8" fillId="12" borderId="14" xfId="0" applyFont="1" applyFill="1" applyBorder="1" applyAlignment="1">
      <alignment horizontal="center" vertical="center"/>
    </xf>
    <xf numFmtId="0" fontId="8" fillId="10" borderId="6" xfId="0" applyFont="1" applyFill="1" applyBorder="1" applyAlignment="1">
      <alignment horizontal="center" vertical="center" wrapText="1"/>
    </xf>
    <xf numFmtId="0" fontId="8" fillId="10" borderId="8" xfId="0" applyFont="1" applyFill="1" applyBorder="1" applyAlignment="1">
      <alignment horizontal="center" vertical="center" wrapText="1"/>
    </xf>
    <xf numFmtId="0" fontId="8" fillId="11" borderId="7"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8" fillId="12" borderId="9" xfId="0" applyFont="1" applyFill="1" applyBorder="1" applyAlignment="1">
      <alignment horizontal="center" vertical="center" wrapText="1"/>
    </xf>
    <xf numFmtId="0" fontId="8" fillId="11" borderId="21" xfId="0" applyFont="1" applyFill="1" applyBorder="1" applyAlignment="1">
      <alignment horizontal="center" vertical="center" wrapText="1"/>
    </xf>
    <xf numFmtId="0" fontId="8" fillId="11" borderId="22" xfId="0" applyFont="1" applyFill="1" applyBorder="1" applyAlignment="1">
      <alignment horizontal="center" vertical="center" wrapText="1"/>
    </xf>
    <xf numFmtId="0" fontId="24" fillId="10" borderId="6" xfId="0" applyFont="1" applyFill="1" applyBorder="1" applyAlignment="1">
      <alignment horizontal="center" vertical="center"/>
    </xf>
    <xf numFmtId="0" fontId="24" fillId="11" borderId="7" xfId="0" applyFont="1" applyFill="1" applyBorder="1" applyAlignment="1">
      <alignment horizontal="center" vertical="center"/>
    </xf>
    <xf numFmtId="0" fontId="24" fillId="11" borderId="10" xfId="0" applyFont="1" applyFill="1" applyBorder="1" applyAlignment="1">
      <alignment horizontal="center" vertical="center"/>
    </xf>
    <xf numFmtId="0" fontId="24" fillId="12" borderId="9" xfId="0" applyFont="1" applyFill="1" applyBorder="1" applyAlignment="1">
      <alignment horizontal="center" vertical="center"/>
    </xf>
  </cellXfs>
  <cellStyles count="2">
    <cellStyle name="Hyperlink" xfId="1" builtinId="8"/>
    <cellStyle name="Normal" xfId="0" builtinId="0"/>
  </cellStyles>
  <dxfs count="8">
    <dxf>
      <font>
        <color theme="1"/>
      </font>
      <fill>
        <patternFill patternType="solid">
          <bgColor theme="2" tint="-0.249977111117893"/>
        </patternFill>
      </fill>
    </dxf>
    <dxf>
      <font>
        <color theme="1"/>
      </font>
      <fill>
        <patternFill patternType="solid">
          <bgColor theme="2" tint="-9.9978637043366805E-2"/>
        </patternFill>
      </fill>
    </dxf>
    <dxf>
      <font>
        <color theme="1"/>
      </font>
      <fill>
        <patternFill patternType="solid">
          <bgColor theme="2"/>
        </patternFill>
      </fill>
    </dxf>
    <dxf>
      <font>
        <color theme="1"/>
      </font>
      <fill>
        <patternFill patternType="solid">
          <bgColor rgb="FFFFD966"/>
        </patternFill>
      </fill>
    </dxf>
    <dxf>
      <fill>
        <patternFill patternType="solid">
          <bgColor theme="4" tint="0.79998168889431442"/>
        </patternFill>
      </fill>
    </dxf>
    <dxf>
      <font>
        <color theme="1"/>
      </font>
      <fill>
        <patternFill patternType="solid">
          <bgColor rgb="FFFF0000"/>
        </patternFill>
      </fill>
    </dxf>
    <dxf>
      <font>
        <color theme="1"/>
      </font>
      <fill>
        <patternFill patternType="solid">
          <bgColor rgb="FFFFEB9C"/>
        </patternFill>
      </fill>
    </dxf>
    <dxf>
      <font>
        <color theme="1"/>
      </font>
      <fill>
        <patternFill patternType="solid">
          <bgColor rgb="FFC6EFCE"/>
        </patternFill>
      </fill>
    </dxf>
  </dxfs>
  <tableStyles count="0" defaultTableStyle="TableStyleMedium2" defaultPivotStyle="PivotStyleMedium9"/>
  <colors>
    <mruColors>
      <color rgb="FFFFD966"/>
      <color rgb="FFFFE79E"/>
      <color rgb="FF6B7280"/>
      <color rgb="FFF2F2F2"/>
      <color rgb="FFD67272"/>
      <color rgb="FFF03E3E"/>
      <color rgb="FFCC9A02"/>
      <color rgb="FFC29306"/>
      <color rgb="FFE0FFE6"/>
      <color rgb="FFDEF1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1536700</xdr:colOff>
      <xdr:row>6</xdr:row>
      <xdr:rowOff>31750</xdr:rowOff>
    </xdr:from>
    <xdr:to>
      <xdr:col>2</xdr:col>
      <xdr:colOff>1244600</xdr:colOff>
      <xdr:row>14</xdr:row>
      <xdr:rowOff>85725</xdr:rowOff>
    </xdr:to>
    <xdr:sp macro="" textlink="">
      <xdr:nvSpPr>
        <xdr:cNvPr id="2" name="Oval 1">
          <a:extLst>
            <a:ext uri="{FF2B5EF4-FFF2-40B4-BE49-F238E27FC236}">
              <a16:creationId xmlns:a16="http://schemas.microsoft.com/office/drawing/2014/main" id="{8FC3374D-65C8-411F-82B1-0DD7956E1C6A}"/>
            </a:ext>
          </a:extLst>
        </xdr:cNvPr>
        <xdr:cNvSpPr/>
      </xdr:nvSpPr>
      <xdr:spPr>
        <a:xfrm>
          <a:off x="2422525" y="4127500"/>
          <a:ext cx="1679575" cy="15875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sz="1400" b="1"/>
            <a:t>Operational Outcomes</a:t>
          </a:r>
        </a:p>
      </xdr:txBody>
    </xdr:sp>
    <xdr:clientData/>
  </xdr:twoCellAnchor>
  <xdr:twoCellAnchor>
    <xdr:from>
      <xdr:col>2</xdr:col>
      <xdr:colOff>1460500</xdr:colOff>
      <xdr:row>10</xdr:row>
      <xdr:rowOff>69850</xdr:rowOff>
    </xdr:from>
    <xdr:to>
      <xdr:col>3</xdr:col>
      <xdr:colOff>711200</xdr:colOff>
      <xdr:row>10</xdr:row>
      <xdr:rowOff>82550</xdr:rowOff>
    </xdr:to>
    <xdr:cxnSp macro="">
      <xdr:nvCxnSpPr>
        <xdr:cNvPr id="3" name="Straight Arrow Connector 2">
          <a:extLst>
            <a:ext uri="{FF2B5EF4-FFF2-40B4-BE49-F238E27FC236}">
              <a16:creationId xmlns:a16="http://schemas.microsoft.com/office/drawing/2014/main" id="{9E9A2DE9-FC85-4146-88FC-D7792AEB0942}"/>
            </a:ext>
            <a:ext uri="{147F2762-F138-4A5C-976F-8EAC2B608ADB}">
              <a16:predDERef xmlns:a16="http://schemas.microsoft.com/office/drawing/2014/main" pred="{8FC3374D-65C8-411F-82B1-0DD7956E1C6A}"/>
            </a:ext>
          </a:extLst>
        </xdr:cNvPr>
        <xdr:cNvCxnSpPr/>
      </xdr:nvCxnSpPr>
      <xdr:spPr>
        <a:xfrm flipV="1">
          <a:off x="4318000" y="4927600"/>
          <a:ext cx="1222375" cy="12700"/>
        </a:xfrm>
        <a:prstGeom prst="straightConnector1">
          <a:avLst/>
        </a:prstGeom>
        <a:ln w="63500">
          <a:solidFill>
            <a:schemeClr val="bg1">
              <a:lumMod val="6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876300</xdr:colOff>
      <xdr:row>6</xdr:row>
      <xdr:rowOff>44450</xdr:rowOff>
    </xdr:from>
    <xdr:to>
      <xdr:col>4</xdr:col>
      <xdr:colOff>584200</xdr:colOff>
      <xdr:row>14</xdr:row>
      <xdr:rowOff>98425</xdr:rowOff>
    </xdr:to>
    <xdr:sp macro="" textlink="">
      <xdr:nvSpPr>
        <xdr:cNvPr id="4" name="Oval 3">
          <a:extLst>
            <a:ext uri="{FF2B5EF4-FFF2-40B4-BE49-F238E27FC236}">
              <a16:creationId xmlns:a16="http://schemas.microsoft.com/office/drawing/2014/main" id="{EBB3DACF-E156-4178-AB18-D13CEC860EC2}"/>
            </a:ext>
            <a:ext uri="{147F2762-F138-4A5C-976F-8EAC2B608ADB}">
              <a16:predDERef xmlns:a16="http://schemas.microsoft.com/office/drawing/2014/main" pred="{9E9A2DE9-FC85-4146-88FC-D7792AEB0942}"/>
            </a:ext>
          </a:extLst>
        </xdr:cNvPr>
        <xdr:cNvSpPr/>
      </xdr:nvSpPr>
      <xdr:spPr>
        <a:xfrm>
          <a:off x="5705475" y="4140200"/>
          <a:ext cx="1679575" cy="1587500"/>
        </a:xfrm>
        <a:prstGeom prst="ellipse">
          <a:avLst/>
        </a:prstGeom>
        <a:solidFill>
          <a:schemeClr val="accent3">
            <a:lumMod val="75000"/>
          </a:schemeClr>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sz="1400" b="1"/>
            <a:t>Student</a:t>
          </a:r>
          <a:r>
            <a:rPr lang="en-US" sz="1400" b="1" baseline="0"/>
            <a:t> Outcomes</a:t>
          </a:r>
        </a:p>
        <a:p>
          <a:pPr algn="ctr"/>
          <a:endParaRPr lang="en-US" sz="1400" b="1" baseline="0"/>
        </a:p>
        <a:p>
          <a:pPr algn="ctr"/>
          <a:r>
            <a:rPr lang="en-US" sz="1000" b="0" baseline="0"/>
            <a:t>(Student Services 3 Imperatives)</a:t>
          </a:r>
          <a:endParaRPr lang="en-US" sz="1000" b="0"/>
        </a:p>
      </xdr:txBody>
    </xdr:sp>
    <xdr:clientData/>
  </xdr:twoCellAnchor>
  <xdr:twoCellAnchor>
    <xdr:from>
      <xdr:col>4</xdr:col>
      <xdr:colOff>774700</xdr:colOff>
      <xdr:row>10</xdr:row>
      <xdr:rowOff>69850</xdr:rowOff>
    </xdr:from>
    <xdr:to>
      <xdr:col>5</xdr:col>
      <xdr:colOff>25400</xdr:colOff>
      <xdr:row>10</xdr:row>
      <xdr:rowOff>82550</xdr:rowOff>
    </xdr:to>
    <xdr:cxnSp macro="">
      <xdr:nvCxnSpPr>
        <xdr:cNvPr id="5" name="Straight Arrow Connector 4">
          <a:extLst>
            <a:ext uri="{FF2B5EF4-FFF2-40B4-BE49-F238E27FC236}">
              <a16:creationId xmlns:a16="http://schemas.microsoft.com/office/drawing/2014/main" id="{29F2072B-99C9-47E5-95C6-2B5337096F6C}"/>
            </a:ext>
            <a:ext uri="{147F2762-F138-4A5C-976F-8EAC2B608ADB}">
              <a16:predDERef xmlns:a16="http://schemas.microsoft.com/office/drawing/2014/main" pred="{EBB3DACF-E156-4178-AB18-D13CEC860EC2}"/>
            </a:ext>
          </a:extLst>
        </xdr:cNvPr>
        <xdr:cNvCxnSpPr/>
      </xdr:nvCxnSpPr>
      <xdr:spPr>
        <a:xfrm flipV="1">
          <a:off x="7575550" y="4927600"/>
          <a:ext cx="1222375" cy="12700"/>
        </a:xfrm>
        <a:prstGeom prst="straightConnector1">
          <a:avLst/>
        </a:prstGeom>
        <a:ln w="63500">
          <a:solidFill>
            <a:schemeClr val="bg1">
              <a:lumMod val="6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190500</xdr:colOff>
      <xdr:row>6</xdr:row>
      <xdr:rowOff>44450</xdr:rowOff>
    </xdr:from>
    <xdr:to>
      <xdr:col>5</xdr:col>
      <xdr:colOff>1866900</xdr:colOff>
      <xdr:row>14</xdr:row>
      <xdr:rowOff>98425</xdr:rowOff>
    </xdr:to>
    <xdr:sp macro="" textlink="">
      <xdr:nvSpPr>
        <xdr:cNvPr id="8" name="Oval 5">
          <a:extLst>
            <a:ext uri="{FF2B5EF4-FFF2-40B4-BE49-F238E27FC236}">
              <a16:creationId xmlns:a16="http://schemas.microsoft.com/office/drawing/2014/main" id="{3E1ED391-1CA8-4DDB-825C-7C3C469BA226}"/>
            </a:ext>
            <a:ext uri="{147F2762-F138-4A5C-976F-8EAC2B608ADB}">
              <a16:predDERef xmlns:a16="http://schemas.microsoft.com/office/drawing/2014/main" pred="{29F2072B-99C9-47E5-95C6-2B5337096F6C}"/>
            </a:ext>
          </a:extLst>
        </xdr:cNvPr>
        <xdr:cNvSpPr/>
      </xdr:nvSpPr>
      <xdr:spPr>
        <a:xfrm>
          <a:off x="8963025" y="4140200"/>
          <a:ext cx="1676400" cy="1587500"/>
        </a:xfrm>
        <a:prstGeom prst="ellipse">
          <a:avLst/>
        </a:prstGeom>
        <a:solidFill>
          <a:schemeClr val="accent2">
            <a:lumMod val="75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sz="1400" b="1"/>
            <a:t>Institutional</a:t>
          </a:r>
          <a:r>
            <a:rPr lang="en-US" sz="1400" b="1" baseline="0"/>
            <a:t> Outcomes </a:t>
          </a:r>
        </a:p>
        <a:p>
          <a:pPr algn="ctr"/>
          <a:endParaRPr lang="en-US" sz="1400" b="1" baseline="0"/>
        </a:p>
        <a:p>
          <a:pPr algn="ctr"/>
          <a:r>
            <a:rPr lang="en-US" sz="900" b="0" baseline="0"/>
            <a:t>(Core and Secondary Strategies)</a:t>
          </a:r>
          <a:endParaRPr lang="en-US" sz="900" b="0"/>
        </a:p>
      </xdr:txBody>
    </xdr:sp>
    <xdr:clientData/>
  </xdr:twoCellAnchor>
</xdr:wsDr>
</file>

<file path=xl/persons/person.xml><?xml version="1.0" encoding="utf-8"?>
<personList xmlns="http://schemas.microsoft.com/office/spreadsheetml/2018/threadedcomments" xmlns:x="http://schemas.openxmlformats.org/spreadsheetml/2006/main">
  <person displayName="Moses Abioye" id="{DB806C1A-880B-4EA7-AAC2-6DFAB7E69C3E}" userId="S::mabioye@churchofjesuschrist.org::72dabd6f-cb42-4732-8cc5-354eb738529e" providerId="AD"/>
  <person displayName="Jess Swinburne" id="{47652F5D-27D5-4064-B6AE-CBA631C6CCE5}" userId="S::jswinburne@churchofjesuschrist.org::f2839b5f-0ee1-4660-b7e4-efaca9c21219" providerId="AD"/>
  <person displayName="Gilles Elie Ravel Mambou" id="{90ECB4F2-860F-417D-B7AD-A4A3FFF1453C}" userId="S::gillesravelmambou@churchofjesuschrist.org::d3be5f04-6733-46cf-bb17-282d78257bc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0" dT="2026-08-03T16:40:06.74" personId="{47652F5D-27D5-4064-B6AE-CBA631C6CCE5}" id="{EC6F673A-2234-43D1-B821-943F667F7310}">
    <text>Students receiving DOS case response within 5 days</text>
  </threadedComment>
  <threadedComment ref="D14" dT="2026-08-03T16:39:53.36" personId="{47652F5D-27D5-4064-B6AE-CBA631C6CCE5}" id="{FF96ECCB-B35D-4579-9933-9D691EEBC649}">
    <text>Students receiving Honor &amp; Conduct case response within 5 days</text>
  </threadedComment>
  <threadedComment ref="D27" dT="2026-08-03T16:37:53.80" personId="{47652F5D-27D5-4064-B6AE-CBA631C6CCE5}" id="{63E12F0C-3018-406B-BC86-831B800E3E2E}">
    <text xml:space="preserve">Students receiving crisis case response within 24 hours </text>
  </threadedComment>
  <threadedComment ref="N64" dT="2026-07-28T19:38:25.57" personId="{DB806C1A-880B-4EA7-AAC2-6DFAB7E69C3E}" id="{E3207B55-211E-4EC0-A6A4-B79BD52BFC8F}">
    <text>Link to Data requires permission</text>
  </threadedComment>
  <threadedComment ref="L67" dT="2026-07-20T18:05:50.52" personId="{90ECB4F2-860F-417D-B7AD-A4A3FFF1453C}" id="{EDB2EC4B-78E6-4279-A844-E7EA32DF0659}">
    <text>Not showing percentage in the PowerBI. Will work with Josh to add percentage to the PowerBi report.</text>
  </threadedComment>
  <threadedComment ref="L75" dT="2026-07-20T18:41:34.44" personId="{90ECB4F2-860F-417D-B7AD-A4A3FFF1453C}" id="{A1E8F2EE-75B8-47EC-977C-8E9F8C95AB00}">
    <text>Work with Josh for a better report</text>
  </threadedComment>
  <threadedComment ref="N78" dT="2026-07-20T18:23:37.31" personId="{90ECB4F2-860F-417D-B7AD-A4A3FFF1453C}" id="{8ACEC6F0-AFA5-4628-A143-1FB4C8A741E1}">
    <text>There's a powerbi report that needs refinement.</text>
  </threadedComment>
  <threadedComment ref="N79" dT="2026-07-20T18:23:48.03" personId="{90ECB4F2-860F-417D-B7AD-A4A3FFF1453C}" id="{57972554-ABB1-4911-8BE5-1E543BC5EBFE}">
    <text>There's a powerbi report that needs refinement</text>
  </threadedComment>
  <threadedComment ref="L84" dT="2026-07-20T18:09:32.00" personId="{90ECB4F2-860F-417D-B7AD-A4A3FFF1453C}" id="{24771082-B15B-41F2-8013-219F6CFDAF59}">
    <text>Not showing percentage in the PowerBI. Will work with Josh to add percentage to the PowerBi report.</text>
  </threadedComment>
  <threadedComment ref="L93" dT="2026-07-20T18:10:47.72" personId="{90ECB4F2-860F-417D-B7AD-A4A3FFF1453C}" id="{B815F813-A269-4F18-BED8-7261ED8F55B8}">
    <text>Report system in progress for Registration</text>
  </threadedComment>
  <threadedComment ref="L93" dT="2026-07-30T15:35:07.78" personId="{DB806C1A-880B-4EA7-AAC2-6DFAB7E69C3E}" id="{0E41193E-6D75-4711-BA64-DCC6049F204A}" parentId="{B815F813-A269-4F18-BED8-7261ED8F55B8}">
    <text>This is live now.</text>
  </threadedComment>
  <threadedComment ref="D101" dT="2026-07-16T18:50:00.07" personId="{47652F5D-27D5-4064-B6AE-CBA631C6CCE5}" id="{1CEFA86F-4216-4A5B-BC7E-A51B7741711C}">
    <text xml:space="preserve">To mirror Trevor </text>
  </threadedComment>
  <threadedComment ref="D102" dT="2026-07-16T18:50:14.76" personId="{47652F5D-27D5-4064-B6AE-CBA631C6CCE5}" id="{8A74B5CA-0799-4FBC-A405-1774C7BF04BC}">
    <text>Based on PC Certificates Awarded &amp; Requirements Achieved</text>
  </threadedComment>
  <threadedComment ref="D102" dT="2026-08-03T14:29:41.30" personId="{47652F5D-27D5-4064-B6AE-CBA631C6CCE5}" id="{9D69E751-8F31-443E-8728-D4167D18B93D}" parentId="{8A74B5CA-0799-4FBC-A405-1774C7BF04BC}">
    <text xml:space="preserve">For the nearest concluded period </text>
  </threadedComment>
  <threadedComment ref="L150" dT="2026-07-30T17:23:48.54" personId="{47652F5D-27D5-4064-B6AE-CBA631C6CCE5}" id="{E51007E4-1F47-42A9-81A8-FC81F2D5A59B}">
    <text>Process:
- Visit report 
- Filter to the most recently concluded month, and the right queue 
- Divide the resolved cases by the total cases</text>
  </threadedComment>
  <threadedComment ref="L155" dT="2026-07-30T19:25:49.27" personId="{47652F5D-27D5-4064-B6AE-CBA631C6CCE5}" id="{3810A518-C3C4-47ED-B284-8334B932C655}">
    <text>Process:
- Visit report 
- Filter to the most recently concluded month, and the right queue 
- Divide the resolved cases by the total cases</text>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openxmlformats.org/officeDocument/2006/relationships/hyperlink" Target="https://app.powerbi.com/groups/me/reports/f4e772a1-108f-4def-8aa5-c298e2c4eb0a/5bd92746cf75258f9eb1?experience=power-bi" TargetMode="External"/><Relationship Id="rId2" Type="http://schemas.openxmlformats.org/officeDocument/2006/relationships/hyperlink" Target="https://app.powerbi.com/groups/me/reports/f4e772a1-108f-4def-8aa5-c298e2c4eb0a/5bd92746cf75258f9eb1?experience=power-bi" TargetMode="External"/><Relationship Id="rId1" Type="http://schemas.openxmlformats.org/officeDocument/2006/relationships/hyperlink" Target="https://app.powerbi.com/groups/4f9c84ba-b5d3-4eda-a86b-41fbb3b3bc4a/reports/af9ba6b3-8092-4e0c-bb52-4f8903b1b861/b4f5a8a463b9d5aef9c3?experience=power-bi" TargetMode="External"/><Relationship Id="rId5" Type="http://schemas.openxmlformats.org/officeDocument/2006/relationships/hyperlink" Target="https://app.powerbi.com/groups/me/apps/edf61692-3af5-4aba-af7e-ef1de76ce451/reports/6f338692-a93d-4072-b2d6-b7af6aa347ab/e205f7687b0c4b678359?ctid=61e6eeb3-5fd7-4aaa-ae3c-61e8deb09b79&amp;experience=power-bi" TargetMode="External"/><Relationship Id="rId4" Type="http://schemas.openxmlformats.org/officeDocument/2006/relationships/hyperlink" Target="https://app.powerbi.com/groups/4f9c84ba-b5d3-4eda-a86b-41fbb3b3bc4a/reports/af9ba6b3-8092-4e0c-bb52-4f8903b1b861/1afb91a1da6d47c71041?ctid=61e6eeb3-5fd7-4aaa-ae3c-61e8deb09b79&amp;experience=power-bi"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app.powerbi.com/Redirect?action=OpenReport&amp;appId=d4fe7f49-1b93-41aa-9e7d-6ee6d5ec3eb0&amp;reportObjectId=cb2ce85e-73e7-4234-8d3b-dd2fc9744649&amp;ctid=61e6eeb3-5fd7-4aaa-ae3c-61e8deb09b79&amp;reportPage=404ac9b71b3c0ac70d20&amp;pbi_source=appShareLink&amp;portalSessionId=c8279588-5339-490f-bd8a-0cbc06437598" TargetMode="External"/><Relationship Id="rId21" Type="http://schemas.openxmlformats.org/officeDocument/2006/relationships/hyperlink" Target="https://app.powerbi.com/groups/4f9c84ba-b5d3-4eda-a86b-41fbb3b3bc4a/reports/dc5c0005-a042-433f-b088-c69daa838558/0557aacc7229a890aa97?experience=power-bi&amp;teamsOpenInNewWindow=1" TargetMode="External"/><Relationship Id="rId42" Type="http://schemas.openxmlformats.org/officeDocument/2006/relationships/hyperlink" Target="https://app.powerbi.com/groups/4f9c84ba-b5d3-4eda-a86b-41fbb3b3bc4a/reports/af9ba6b3-8092-4e0c-bb52-4f8903b1b861/ec6a4f4305973947e908?experience=power-bi" TargetMode="External"/><Relationship Id="rId47" Type="http://schemas.openxmlformats.org/officeDocument/2006/relationships/hyperlink" Target="https://app.powerbi.com/groups/4f9c84ba-b5d3-4eda-a86b-41fbb3b3bc4a/reports/af9ba6b3-8092-4e0c-bb52-4f8903b1b861/acd0ee0b785069a6a598?experience=power-bi" TargetMode="External"/><Relationship Id="rId63" Type="http://schemas.openxmlformats.org/officeDocument/2006/relationships/hyperlink" Target="https://churchofjesuschrist-my.sharepoint.com/:x:/r/personal/marielapezzali_churchofjesuschrist_org/_layouts/15/doc2.aspx?sourcedoc=%7BE457146E-C7EF-4FCF-BA07-BA8720CAB115%7D&amp;file=DOS%20KPIs.xlsx&amp;action=default&amp;mobileredirect=true&amp;wdOrigin=APPHOME-WEB.DIRECT%2CAPPHOME-WEB.FILEBROWSER.RECENT&amp;wdPreviousSession=179d50c1-f9ba-4f93-92a3-310f6d3d7ce5&amp;wdPreviousSessionSrc=AppHomeWeb&amp;ct=1785355617397" TargetMode="External"/><Relationship Id="rId68" Type="http://schemas.openxmlformats.org/officeDocument/2006/relationships/hyperlink" Target="https://cne-101008.crm.dynamics.com/main.aspx?appid=155f9667-c2f7-ed11-8847-000d3a358523" TargetMode="External"/><Relationship Id="rId16" Type="http://schemas.openxmlformats.org/officeDocument/2006/relationships/hyperlink" Target="https://app.powerbi.com/Redirect?action=OpenReport&amp;appId=d4fe7f49-1b93-41aa-9e7d-6ee6d5ec3eb0&amp;reportObjectId=58eb3239-b972-4ee8-8645-fcf195f36c96&amp;ctid=61e6eeb3-5fd7-4aaa-ae3c-61e8deb09b79&amp;reportPage=02d230574060475bc0e4&amp;pbi_source=appShareLink&amp;portalSessionId=78f4edc2-9814-43bc-bc67-b03ff6a08911" TargetMode="External"/><Relationship Id="rId11" Type="http://schemas.openxmlformats.org/officeDocument/2006/relationships/hyperlink" Target="https://app.powerbi.com/groups/me/apps/edf61692-3af5-4aba-af7e-ef1de76ce451/reports/70c7e184-e400-4cac-9500-f8ec201a252b/ReportSection9394f2e53928728d117e?ctid=61e6eeb3-5fd7-4aaa-ae3c-61e8deb09b79&amp;experience=power-bi" TargetMode="External"/><Relationship Id="rId24" Type="http://schemas.openxmlformats.org/officeDocument/2006/relationships/hyperlink" Target="https://app.powerbi.com/Redirect?action=OpenReport&amp;appId=d4fe7f49-1b93-41aa-9e7d-6ee6d5ec3eb0&amp;reportObjectId=cb2ce85e-73e7-4234-8d3b-dd2fc9744649&amp;ctid=61e6eeb3-5fd7-4aaa-ae3c-61e8deb09b79&amp;reportPage=404ac9b71b3c0ac70d20&amp;pbi_source=appShareLink&amp;portalSessionId=c8279588-5339-490f-bd8a-0cbc06437598" TargetMode="External"/><Relationship Id="rId32" Type="http://schemas.openxmlformats.org/officeDocument/2006/relationships/hyperlink" Target="https://app.powerbi.com/Redirect?action=OpenReport&amp;appId=d4fe7f49-1b93-41aa-9e7d-6ee6d5ec3eb0&amp;reportObjectId=4679386d-8e13-43fa-9be7-6c5c504ce07a&amp;ctid=61e6eeb3-5fd7-4aaa-ae3c-61e8deb09b79&amp;reportPage=004a8c4d49c762e03b5d&amp;pbi_source=appShareLink&amp;portalSessionId=c8279588-5339-490f-bd8a-0cbc06437598" TargetMode="External"/><Relationship Id="rId37" Type="http://schemas.openxmlformats.org/officeDocument/2006/relationships/hyperlink" Target="https://app.powerbi.com/Redirect?action=OpenReport&amp;appId=d4fe7f49-1b93-41aa-9e7d-6ee6d5ec3eb0&amp;reportObjectId=7177fab9-23b0-4184-8f31-f0db822282c0&amp;ctid=61e6eeb3-5fd7-4aaa-ae3c-61e8deb09b79&amp;reportPage=ReportSection964c860de430a5035bab&amp;pbi_source=appShareLink&amp;portalSessionId=04e4cd1a-8779-483e-a338-581068ced021" TargetMode="External"/><Relationship Id="rId40" Type="http://schemas.openxmlformats.org/officeDocument/2006/relationships/hyperlink" Target="https://app.powerbi.com/groups/4f9c84ba-b5d3-4eda-a86b-41fbb3b3bc4a/reports/af9ba6b3-8092-4e0c-bb52-4f8903b1b861/acd0ee0b785069a6a598?experience=power-bi" TargetMode="External"/><Relationship Id="rId45" Type="http://schemas.openxmlformats.org/officeDocument/2006/relationships/hyperlink" Target="https://app.powerbi.com/groups/4f9c84ba-b5d3-4eda-a86b-41fbb3b3bc4a/reports/af9ba6b3-8092-4e0c-bb52-4f8903b1b861/1afb91a1da6d47c71041?experience=power-bi" TargetMode="External"/><Relationship Id="rId53" Type="http://schemas.openxmlformats.org/officeDocument/2006/relationships/hyperlink" Target="https://app.powerbi.com/groups/me/apps/d4fe7f49-1b93-41aa-9e7d-6ee6d5ec3eb0/reports/1d513597-8eb5-4912-8692-96ff2a683a51/0209ae92d2720717522a?experience=power-bi" TargetMode="External"/><Relationship Id="rId58" Type="http://schemas.openxmlformats.org/officeDocument/2006/relationships/hyperlink" Target="https://churchofjesuschrist-my.sharepoint.com/:x:/r/personal/marielapezzali_churchofjesuschrist_org/_layouts/15/doc2.aspx?sourcedoc=%7BE457146E-C7EF-4FCF-BA07-BA8720CAB115%7D&amp;file=DOS%20KPIs.xlsx&amp;action=default&amp;mobileredirect=true&amp;wdOrigin=APPHOME-WEB.DIRECT%2CAPPHOME-WEB.FILEBROWSER.RECENT&amp;wdPreviousSession=179d50c1-f9ba-4f93-92a3-310f6d3d7ce5&amp;wdPreviousSessionSrc=AppHomeWeb&amp;ct=1785355617397" TargetMode="External"/><Relationship Id="rId66" Type="http://schemas.openxmlformats.org/officeDocument/2006/relationships/hyperlink" Target="https://app.powerbi.com/groups/4f9c84ba-b5d3-4eda-a86b-41fbb3b3bc4a/reports/af9ba6b3-8092-4e0c-bb52-4f8903b1b861/acd0ee0b785069a6a598?experience=power-bi" TargetMode="External"/><Relationship Id="rId74" Type="http://schemas.openxmlformats.org/officeDocument/2006/relationships/hyperlink" Target="https://app.powerbi.com/groups/4f9c84ba-b5d3-4eda-a86b-41fbb3b3bc4a/reports/af9ba6b3-8092-4e0c-bb52-4f8903b1b861/77b2e5ed1050bc711c70?experience=power-bi" TargetMode="External"/><Relationship Id="rId79" Type="http://schemas.openxmlformats.org/officeDocument/2006/relationships/comments" Target="../comments4.xml"/><Relationship Id="rId5" Type="http://schemas.openxmlformats.org/officeDocument/2006/relationships/hyperlink" Target="https://app.powerbi.com/groups/me/apps/edf61692-3af5-4aba-af7e-ef1de76ce451/reports/7f263ef8-0c4e-4dbd-8c84-2d5d029a1085/e5ac827acf52df1bdc6a?ctid=61e6eeb3-5fd7-4aaa-ae3c-61e8deb09b79&amp;experience=power-bi" TargetMode="External"/><Relationship Id="rId61" Type="http://schemas.openxmlformats.org/officeDocument/2006/relationships/hyperlink" Target="https://churchofjesuschrist-my.sharepoint.com/:x:/r/personal/marielapezzali_churchofjesuschrist_org/_layouts/15/doc2.aspx?sourcedoc=%7BE457146E-C7EF-4FCF-BA07-BA8720CAB115%7D&amp;file=DOS%20KPIs.xlsx&amp;action=default&amp;mobileredirect=true&amp;wdOrigin=APPHOME-WEB.DIRECT%2CAPPHOME-WEB.FILEBROWSER.RECENT&amp;wdPreviousSession=179d50c1-f9ba-4f93-92a3-310f6d3d7ce5&amp;wdPreviousSessionSrc=AppHomeWeb&amp;ct=1785355617397" TargetMode="External"/><Relationship Id="rId19" Type="http://schemas.openxmlformats.org/officeDocument/2006/relationships/hyperlink" Target="https://app.powerbi.com/Redirect?action=OpenReport&amp;appId=d4fe7f49-1b93-41aa-9e7d-6ee6d5ec3eb0&amp;reportObjectId=4679386d-8e13-43fa-9be7-6c5c504ce07a&amp;ctid=61e6eeb3-5fd7-4aaa-ae3c-61e8deb09b79&amp;reportPage=004a8c4d49c762e03b5d&amp;pbi_source=appShareLink&amp;portalSessionId=78f4edc2-9814-43bc-bc67-b03ff6a08911" TargetMode="External"/><Relationship Id="rId14" Type="http://schemas.openxmlformats.org/officeDocument/2006/relationships/hyperlink" Target="https://churchofjesuschrist.sharepoint.com/:x:/s/Graduation.BYUPW-QualityAssurance/IQAIXHl79_ZlRp-UNgYAtB1mAZIoT-aqOHzJcB-rKB4cdnc?e=dZpLcx&amp;isSPOFile=1&amp;xsdata=MDV8MDJ8fDE0MmZlZjNhYzI3YzRhZjdmMTQzMDhkZWU2ODIwMjBifDYxZTZlZWIzNWZkNzRhYWFhZTNjNjFlOGRlYjA5Yjc5fDB8MHw2MzkyMDE2NDMxODc2Nzk5NjN8VW5rbm93bnxWR1ZoYlhOVFpXTjFjbWwwZVZObGNuWnBZMlY4ZXlKRFFTSTZJbFJsWVcxelgwRlVVRk5sY25acFkyVmZVMUJQVEU5R0lpd2lWaUk2SWpBdU1DNHdNREF3SWl3aVVDSTZJbGRwYmpNeUlpd2lRVTRpT2lKUGRHaGxjaUlzSWxkVUlqb3hNWDA9fDF8TDJOb1lYUnpMekU1T20xbFpYUnBibWRmVGtSS2FWbHRUVFZQUkUxMFRsUmpOVmw1TURCT2VrbDVURmRGTTFscVJYUmFSRVYzV2tkT2FFMTZUbWxPUjFsNVFIUm9jbVZoWkM1Mk1pOXRaWE56WVdkbGN5OHhOemcwTlRZM05URTJOelE1fDM3YzczZmZmYjVkMTQ1ODBhMmQxMDhkZWU2ODIwMjBifGNiODZiMTMxY2NhZDQxYzFhMWMzNjRjOGRjZGEyZThm&amp;sdata=UG02bi82c3VmNHhOWXN3WVhTajdGNWtOZ3MrbGZSUjUwN3A5K3RIQlpWdz0%3D&amp;ovuser=61e6eeb3-5fd7-4aaa-ae3c-61e8deb09b79%2CMAbioye%40churchofjesuschrist.org" TargetMode="External"/><Relationship Id="rId22" Type="http://schemas.openxmlformats.org/officeDocument/2006/relationships/hyperlink" Target="https://app.powerbi.com/groups/4f9c84ba-b5d3-4eda-a86b-41fbb3b3bc4a/reports/dc5c0005-a042-433f-b088-c69daa838558/0557aacc7229a890aa97?experience=power-bi&amp;teamsOpenInNewWindow=1" TargetMode="External"/><Relationship Id="rId27" Type="http://schemas.openxmlformats.org/officeDocument/2006/relationships/hyperlink" Target="https://app.powerbi.com/Redirect?action=OpenReport&amp;appId=d4fe7f49-1b93-41aa-9e7d-6ee6d5ec3eb0&amp;reportObjectId=e2b5b9d8-0b16-4185-9213-61b41d61c157&amp;ctid=61e6eeb3-5fd7-4aaa-ae3c-61e8deb09b79&amp;reportPage=ReportSectionf20578b2c846b75ef80e&amp;pbi_source=appShareLink&amp;portalSessionId=c8279588-5339-490f-bd8a-0cbc06437598" TargetMode="External"/><Relationship Id="rId30" Type="http://schemas.openxmlformats.org/officeDocument/2006/relationships/hyperlink" Target="https://app.powerbi.com/Redirect?action=OpenReport&amp;appId=d4fe7f49-1b93-41aa-9e7d-6ee6d5ec3eb0&amp;reportObjectId=be2cacf8-fa52-4ce4-abf5-f9ee28fa66a6&amp;ctid=61e6eeb3-5fd7-4aaa-ae3c-61e8deb09b79&amp;reportPage=90333e1e71861247c683&amp;pbi_source=appShareLink&amp;portalSessionId=c8279588-5339-490f-bd8a-0cbc06437598" TargetMode="External"/><Relationship Id="rId35" Type="http://schemas.openxmlformats.org/officeDocument/2006/relationships/hyperlink" Target="https://app.powerbi.com/Redirect?action=OpenReport&amp;appId=d4fe7f49-1b93-41aa-9e7d-6ee6d5ec3eb0&amp;reportObjectId=d0f58bce-3a7d-49b6-80a3-eade14ab09fc&amp;ctid=61e6eeb3-5fd7-4aaa-ae3c-61e8deb09b79&amp;reportPage=e3ff97a21eaacb03dbca&amp;pbi_source=appShareLink&amp;portalSessionId=04e4cd1a-8779-483e-a338-581068ced021" TargetMode="External"/><Relationship Id="rId43" Type="http://schemas.openxmlformats.org/officeDocument/2006/relationships/hyperlink" Target="https://app.powerbi.com/groups/4f9c84ba-b5d3-4eda-a86b-41fbb3b3bc4a/reports/af9ba6b3-8092-4e0c-bb52-4f8903b1b861/ec6a4f4305973947e908?experience=power-bi" TargetMode="External"/><Relationship Id="rId48" Type="http://schemas.openxmlformats.org/officeDocument/2006/relationships/hyperlink" Target="https://app.powerbi.com/groups/4f9c84ba-b5d3-4eda-a86b-41fbb3b3bc4a/reports/af9ba6b3-8092-4e0c-bb52-4f8903b1b861/4c2855c01a3caaf171d0?experience=power-bi" TargetMode="External"/><Relationship Id="rId56" Type="http://schemas.openxmlformats.org/officeDocument/2006/relationships/hyperlink" Target="https://app.powerbi.com/groups/me/apps/d4fe7f49-1b93-41aa-9e7d-6ee6d5ec3eb0/reports/32370e33-dc03-418d-9403-25cfd508af0b/ReportSection9394f2e53928728d117e?experience=power-bi" TargetMode="External"/><Relationship Id="rId64" Type="http://schemas.openxmlformats.org/officeDocument/2006/relationships/hyperlink" Target="https://app.powerbi.com/groups/me/apps/edf61692-3af5-4aba-af7e-ef1de76ce451/reports/fd36c261-899f-4645-aef4-d7302ec76d79/ReportSection9394f2e53928728d117e?ctid=61e6eeb3-5fd7-4aaa-ae3c-61e8deb09b79&amp;experience=power-bi" TargetMode="External"/><Relationship Id="rId69" Type="http://schemas.openxmlformats.org/officeDocument/2006/relationships/hyperlink" Target="https://app.powerbi.com/groups/4f9c84ba-b5d3-4eda-a86b-41fbb3b3bc4a/reports/af9ba6b3-8092-4e0c-bb52-4f8903b1b861/1afb91a1da6d47c71041?experience=power-bi" TargetMode="External"/><Relationship Id="rId77" Type="http://schemas.openxmlformats.org/officeDocument/2006/relationships/hyperlink" Target="https://app.powerbi.com/groups/4f9c84ba-b5d3-4eda-a86b-41fbb3b3bc4a/reports/af9ba6b3-8092-4e0c-bb52-4f8903b1b861/77b2e5ed1050bc711c70?experience=power-bi" TargetMode="External"/><Relationship Id="rId8" Type="http://schemas.openxmlformats.org/officeDocument/2006/relationships/hyperlink" Target="https://app.powerbi.com/groups/4f9c84ba-b5d3-4eda-a86b-41fbb3b3bc4a/reports/af9ba6b3-8092-4e0c-bb52-4f8903b1b861/77b2e5ed1050bc711c70?experience=power-bi" TargetMode="External"/><Relationship Id="rId51" Type="http://schemas.openxmlformats.org/officeDocument/2006/relationships/hyperlink" Target="https://app.powerbi.com/groups/me/apps/d4fe7f49-1b93-41aa-9e7d-6ee6d5ec3eb0/reports/1d513597-8eb5-4912-8692-96ff2a683a51/0209ae92d2720717522a?experience=power-bi" TargetMode="External"/><Relationship Id="rId72" Type="http://schemas.openxmlformats.org/officeDocument/2006/relationships/hyperlink" Target="https://app.powerbi.com/groups/4f9c84ba-b5d3-4eda-a86b-41fbb3b3bc4a/reports/af9ba6b3-8092-4e0c-bb52-4f8903b1b861/1afb91a1da6d47c71041?experience=power-bi" TargetMode="External"/><Relationship Id="rId80" Type="http://schemas.microsoft.com/office/2017/10/relationships/threadedComment" Target="../threadedComments/threadedComment1.xml"/><Relationship Id="rId3" Type="http://schemas.openxmlformats.org/officeDocument/2006/relationships/hyperlink" Target="https://app.powerbi.com/Redirect?action=OpenReport&amp;appId=d4fe7f49-1b93-41aa-9e7d-6ee6d5ec3eb0&amp;reportObjectId=58eb3239-b972-4ee8-8645-fcf195f36c96&amp;ctid=61e6eeb3-5fd7-4aaa-ae3c-61e8deb09b79&amp;reportPage=02d230574060475bc0e4&amp;pbi_source=appShareLink&amp;portalSessionId=90e3d628-0853-431e-a924-80acd7dbd750" TargetMode="External"/><Relationship Id="rId12" Type="http://schemas.openxmlformats.org/officeDocument/2006/relationships/hyperlink" Target="https://churchofjesuschrist.sharepoint.com/:x:/r/sites/Graduation.BYUPW/Shared%20Documents/Graduation%20Processes/Final%20Graduation%20Workbooks/Block%203%202026/Block%203%20Final%20Reviews_6.26.26.xlsx?d=w1ba43f7a427945209721797744a50672&amp;csf=1&amp;web=1&amp;e=uXMzJj&amp;isSPOFile=1&amp;xsdata=MDV8MDJ8fGY2MDhhYTFiYjQxYTQ1MDAwYzEyMDhkZWU2N2ZiZjY5fDYxZTZlZWIzNWZkNzRhYWFhZTNjNjFlOGRlYjA5Yjc5fDB8MHw2MzkyMDE2MzM0Nzk3NTY4MTh8VW5rbm93bnxWR1ZoYlhOVFpXTjFjbWwwZVZObGNuWnBZMlY4ZXlKRFFTSTZJbFJsWVcxelgwRlVVRk5sY25acFkyVmZVMUJQVEU5R0lpd2lWaUk2SWpBdU1DNHdNREF3SWl3aVVDSTZJbGRwYmpNeUlpd2lRVTRpT2lKUGRHaGxjaUlzSWxkVUlqb3hNWDA9fDF8TDJOb1lYUnpMekU1T20xbFpYUnBibWRmVGtSS2FWbHRUVFZQUkUxMFRsUmpOVmw1TURCT2VrbDVURmRGTTFscVJYUmFSRVYzV2tkT2FFMTZUbWxPUjFsNVFIUm9jbVZoWkM1Mk1pOXRaWE56WVdkbGN5OHhOemcwTlRZMk5UUTFPRGc1fGZhODZlMDgyMzc3MzQ4MWIwNjhjMDhkZWU2N2ZiZjY4fDhkOGMyY2VjYTFmMjQ4YzhiNzViNTY2NDcxYzFjNWEz&amp;sdata=WVBHQ0lkN001aDdUbU8zbUVLdVF4WkZvY0JuZkkzeVRCTTlMVkJRblJRYz0%3D&amp;ovuser=61e6eeb3-5fd7-4aaa-ae3c-61e8deb09b79%2CMAbioye%40churchofjesuschrist.org" TargetMode="External"/><Relationship Id="rId17" Type="http://schemas.openxmlformats.org/officeDocument/2006/relationships/hyperlink" Target="https://app.powerbi.com/Redirect?action=OpenReport&amp;appId=d4fe7f49-1b93-41aa-9e7d-6ee6d5ec3eb0&amp;reportObjectId=27ea7bdf-aa28-4e92-98c9-89ecc9455740&amp;ctid=61e6eeb3-5fd7-4aaa-ae3c-61e8deb09b79&amp;reportPage=f2a14ebbd5968172a5bb&amp;pbi_source=appShareLink&amp;portalSessionId=78f4edc2-9814-43bc-bc67-b03ff6a08911" TargetMode="External"/><Relationship Id="rId25" Type="http://schemas.openxmlformats.org/officeDocument/2006/relationships/hyperlink" Target="https://app.powerbi.com/Redirect?action=OpenReport&amp;appId=d4fe7f49-1b93-41aa-9e7d-6ee6d5ec3eb0&amp;reportObjectId=e2b5b9d8-0b16-4185-9213-61b41d61c157&amp;ctid=61e6eeb3-5fd7-4aaa-ae3c-61e8deb09b79&amp;reportPage=ReportSectionf20578b2c846b75ef80e&amp;pbi_source=appShareLink&amp;portalSessionId=c8279588-5339-490f-bd8a-0cbc06437598" TargetMode="External"/><Relationship Id="rId33" Type="http://schemas.openxmlformats.org/officeDocument/2006/relationships/hyperlink" Target="https://app.powerbi.com/Redirect?action=OpenReport&amp;appId=d4fe7f49-1b93-41aa-9e7d-6ee6d5ec3eb0&amp;reportObjectId=27ea7bdf-aa28-4e92-98c9-89ecc9455740&amp;ctid=61e6eeb3-5fd7-4aaa-ae3c-61e8deb09b79&amp;reportPage=f2a14ebbd5968172a5bb&amp;pbi_source=appShareLink&amp;portalSessionId=04e4cd1a-8779-483e-a338-581068ced021" TargetMode="External"/><Relationship Id="rId38" Type="http://schemas.openxmlformats.org/officeDocument/2006/relationships/hyperlink" Target="https://app.powerbi.com/groups/me/apps/d4fe7f49-1b93-41aa-9e7d-6ee6d5ec3eb0/reports/fcf13746-fad2-48de-9d61-a4ab0ae71022/90333e1e71861247c683?experience=power-bi" TargetMode="External"/><Relationship Id="rId46" Type="http://schemas.openxmlformats.org/officeDocument/2006/relationships/hyperlink" Target="https://app.powerbi.com/groups/4f9c84ba-b5d3-4eda-a86b-41fbb3b3bc4a/reports/af9ba6b3-8092-4e0c-bb52-4f8903b1b861/77b2e5ed1050bc711c70?experience=power-bi" TargetMode="External"/><Relationship Id="rId59" Type="http://schemas.openxmlformats.org/officeDocument/2006/relationships/hyperlink" Target="https://churchofjesuschrist-my.sharepoint.com/:x:/r/personal/marielapezzali_churchofjesuschrist_org/_layouts/15/doc2.aspx?sourcedoc=%7BE457146E-C7EF-4FCF-BA07-BA8720CAB115%7D&amp;file=DOS%20KPIs.xlsx&amp;action=default&amp;mobileredirect=true&amp;wdOrigin=APPHOME-WEB.DIRECT%2CAPPHOME-WEB.FILEBROWSER.RECENT&amp;wdPreviousSession=179d50c1-f9ba-4f93-92a3-310f6d3d7ce5&amp;wdPreviousSessionSrc=AppHomeWeb&amp;ct=1785355617397" TargetMode="External"/><Relationship Id="rId67" Type="http://schemas.openxmlformats.org/officeDocument/2006/relationships/hyperlink" Target="https://cne-101008.crm.dynamics.com/main.aspx?appid=155f9667-c2f7-ed11-8847-000d3a358523" TargetMode="External"/><Relationship Id="rId20" Type="http://schemas.openxmlformats.org/officeDocument/2006/relationships/hyperlink" Target="https://app.powerbi.com/groups/4f9c84ba-b5d3-4eda-a86b-41fbb3b3bc4a/reports/dc5c0005-a042-433f-b088-c69daa838558/0557aacc7229a890aa97?experience=power-bi&amp;teamsOpenInNewWindow=1" TargetMode="External"/><Relationship Id="rId41" Type="http://schemas.openxmlformats.org/officeDocument/2006/relationships/hyperlink" Target="https://app.powerbi.com/groups/4f9c84ba-b5d3-4eda-a86b-41fbb3b3bc4a/reports/af9ba6b3-8092-4e0c-bb52-4f8903b1b861/acd0ee0b785069a6a598?experience=power-bi" TargetMode="External"/><Relationship Id="rId54" Type="http://schemas.openxmlformats.org/officeDocument/2006/relationships/hyperlink" Target="https://app.powerbi.com/groups/me/apps/d4fe7f49-1b93-41aa-9e7d-6ee6d5ec3eb0/reports/fcf13746-fad2-48de-9d61-a4ab0ae71022/90333e1e71861247c683?experience=power-bi" TargetMode="External"/><Relationship Id="rId62" Type="http://schemas.openxmlformats.org/officeDocument/2006/relationships/hyperlink" Target="https://churchofjesuschrist-my.sharepoint.com/:x:/r/personal/marielapezzali_churchofjesuschrist_org/_layouts/15/doc2.aspx?sourcedoc=%7BE457146E-C7EF-4FCF-BA07-BA8720CAB115%7D&amp;file=DOS%20KPIs.xlsx&amp;action=default&amp;mobileredirect=true&amp;wdOrigin=APPHOME-WEB.DIRECT%2CAPPHOME-WEB.FILEBROWSER.RECENT&amp;wdPreviousSession=179d50c1-f9ba-4f93-92a3-310f6d3d7ce5&amp;wdPreviousSessionSrc=AppHomeWeb&amp;ct=1785355617397" TargetMode="External"/><Relationship Id="rId70" Type="http://schemas.openxmlformats.org/officeDocument/2006/relationships/hyperlink" Target="https://app.powerbi.com/groups/4f9c84ba-b5d3-4eda-a86b-41fbb3b3bc4a/reports/af9ba6b3-8092-4e0c-bb52-4f8903b1b861/1afb91a1da6d47c71041?experience=power-bi" TargetMode="External"/><Relationship Id="rId75" Type="http://schemas.openxmlformats.org/officeDocument/2006/relationships/hyperlink" Target="https://byupathwayworldwideprod.sharepoint.com/sites/PowerBIReports/SitePages/Records-Report.aspx?xsdata=MDV8MDJ8fDZkNzVkYmQ2OTZhNzRhNWVjOWZlMDhkZWVmMTQ3YTEyfDYxZTZlZWIzNWZkNzRhYWFhZTNjNjFlOGRlYjA5Yjc5fDB8MHw2MzkyMTEwNjgzNTk2Mzc5Mzd8VW5rbm93bnxWR1ZoYlhOVFpXTjFjbWwwZVZObGNuWnBZMlY4ZXlKRFFTSTZJbFJsWVcxelgwRlVVRk5sY25acFkyVmZVMUJQVEU5R0lpd2lWaUk2SWpBdU1DNHdNREF3SWl3aVVDSTZJbGRwYmpNeUlpd2lRVTRpT2lKUGRHaGxjaUlzSWxkVUlqb3hNWDA9fDF8TDJOb1lYUnpMekU1T2pZell6Z3hORGd6TFdRd1ptSXROR1V3TVMxaE4ySTBMVGd6TlRNd01UWTRNbVkxTlY4M01tUmhZbVEyWmkxallqUXlMVFEzTXpJdE9HTmpOUzB6TlRSbFlqY3pPRFV5T1dWQWRXNXhMbWRpYkM1emNHRmpaWE12YldWemMyRm5aWE12TVRjNE5UVXhNREF6TXpFM01BPT18MzViYmZhMjhiNGJjNDI5OTY5NmMwOGRlZWYxNDdhMTJ8ZDYwMGUyZDY4MTI4NDNiNDk1MDAxOTk5MWIwM2JmYzU%3D&amp;sdata=VjhTREFxN0tIL3VOUVZESW1SR0RNM20wbHZyNkdBMThYNUcwaHAwQzIxQT0%3D&amp;ovuser=61e6eeb3-5fd7-4aaa-ae3c-61e8deb09b79%2CMAbioye%40churchofjesuschrist.org" TargetMode="External"/><Relationship Id="rId1" Type="http://schemas.openxmlformats.org/officeDocument/2006/relationships/hyperlink" Target="https://app.powerbi.com/Redirect?action=OpenReport&amp;appId=d4fe7f49-1b93-41aa-9e7d-6ee6d5ec3eb0&amp;reportObjectId=58eb3239-b972-4ee8-8645-fcf195f36c96&amp;ctid=61e6eeb3-5fd7-4aaa-ae3c-61e8deb09b79&amp;reportPage=02d230574060475bc0e4&amp;pbi_source=appShareLink&amp;portalSessionId=90e3d628-0853-431e-a924-80acd7dbd750" TargetMode="External"/><Relationship Id="rId6" Type="http://schemas.openxmlformats.org/officeDocument/2006/relationships/hyperlink" Target="https://app.powerbi.com/groups/me/apps/edf61692-3af5-4aba-af7e-ef1de76ce451/reports/7f263ef8-0c4e-4dbd-8c84-2d5d029a1085/185501d1d1107d800e43?ctid=61e6eeb3-5fd7-4aaa-ae3c-61e8deb09b79&amp;experience=power-bi" TargetMode="External"/><Relationship Id="rId15" Type="http://schemas.openxmlformats.org/officeDocument/2006/relationships/hyperlink" Target="https://app.powerbi.com/Redirect?action=OpenReport&amp;appId=d4fe7f49-1b93-41aa-9e7d-6ee6d5ec3eb0&amp;reportObjectId=be2cacf8-fa52-4ce4-abf5-f9ee28fa66a6&amp;ctid=61e6eeb3-5fd7-4aaa-ae3c-61e8deb09b79&amp;reportPage=90333e1e71861247c683&amp;pbi_source=appShareLink&amp;portalSessionId=78f4edc2-9814-43bc-bc67-b03ff6a08911" TargetMode="External"/><Relationship Id="rId23" Type="http://schemas.openxmlformats.org/officeDocument/2006/relationships/hyperlink" Target="https://app.powerbi.com/Redirect?action=OpenReport&amp;appId=d4fe7f49-1b93-41aa-9e7d-6ee6d5ec3eb0&amp;reportObjectId=8b8c6aa8-361e-4ed7-8018-ac9b625ec004&amp;ctid=61e6eeb3-5fd7-4aaa-ae3c-61e8deb09b79&amp;reportPage=8dd6568b0dc02796db27&amp;pbi_source=appShareLink&amp;portalSessionId=c8279588-5339-490f-bd8a-0cbc06437598" TargetMode="External"/><Relationship Id="rId28" Type="http://schemas.openxmlformats.org/officeDocument/2006/relationships/hyperlink" Target="https://app.powerbi.com/Redirect?action=OpenReport&amp;appId=d4fe7f49-1b93-41aa-9e7d-6ee6d5ec3eb0&amp;reportObjectId=8b8c6aa8-361e-4ed7-8018-ac9b625ec004&amp;ctid=61e6eeb3-5fd7-4aaa-ae3c-61e8deb09b79&amp;reportPage=8dd6568b0dc02796db27&amp;pbi_source=appShareLink&amp;portalSessionId=c8279588-5339-490f-bd8a-0cbc06437598" TargetMode="External"/><Relationship Id="rId36" Type="http://schemas.openxmlformats.org/officeDocument/2006/relationships/hyperlink" Target="https://app.powerbi.com/Redirect?action=OpenReport&amp;appId=d4fe7f49-1b93-41aa-9e7d-6ee6d5ec3eb0&amp;reportObjectId=d0f58bce-3a7d-49b6-80a3-eade14ab09fc&amp;ctid=61e6eeb3-5fd7-4aaa-ae3c-61e8deb09b79&amp;reportPage=e3ff97a21eaacb03dbca&amp;pbi_source=appShareLink&amp;portalSessionId=04e4cd1a-8779-483e-a338-581068ced021" TargetMode="External"/><Relationship Id="rId49" Type="http://schemas.openxmlformats.org/officeDocument/2006/relationships/hyperlink" Target="https://app.powerbi.com/groups/me/apps/d4fe7f49-1b93-41aa-9e7d-6ee6d5ec3eb0/reports/1d513597-8eb5-4912-8692-96ff2a683a51/0209ae92d2720717522a?experience=power-bi" TargetMode="External"/><Relationship Id="rId57" Type="http://schemas.openxmlformats.org/officeDocument/2006/relationships/hyperlink" Target="https://grafanapathway-bvcefagkg2gtgzb6.eus.grafana.azure.com/d/edt8uho6bh0jkc/anthology-monitoring-top?orgId=1&amp;from=now-6h&amp;to=now&amp;timezone=America%2FDenver&amp;refresh=10s" TargetMode="External"/><Relationship Id="rId10" Type="http://schemas.openxmlformats.org/officeDocument/2006/relationships/hyperlink" Target="https://app.powerbi.com/groups/me/apps/edf61692-3af5-4aba-af7e-ef1de76ce451/reports/7f263ef8-0c4e-4dbd-8c84-2d5d029a1085/e5ac827acf52df1bdc6a?ctid=61e6eeb3-5fd7-4aaa-ae3c-61e8deb09b79&amp;experience=power-bi" TargetMode="External"/><Relationship Id="rId31" Type="http://schemas.openxmlformats.org/officeDocument/2006/relationships/hyperlink" Target="https://app.powerbi.com/Redirect?action=OpenReport&amp;appId=d4fe7f49-1b93-41aa-9e7d-6ee6d5ec3eb0&amp;reportObjectId=4679386d-8e13-43fa-9be7-6c5c504ce07a&amp;ctid=61e6eeb3-5fd7-4aaa-ae3c-61e8deb09b79&amp;reportPage=004a8c4d49c762e03b5d&amp;pbi_source=appShareLink&amp;portalSessionId=c8279588-5339-490f-bd8a-0cbc06437598" TargetMode="External"/><Relationship Id="rId44" Type="http://schemas.openxmlformats.org/officeDocument/2006/relationships/hyperlink" Target="https://app.powerbi.com/groups/4f9c84ba-b5d3-4eda-a86b-41fbb3b3bc4a/reports/af9ba6b3-8092-4e0c-bb52-4f8903b1b861/ec6a4f4305973947e908?experience=power-bi" TargetMode="External"/><Relationship Id="rId52" Type="http://schemas.openxmlformats.org/officeDocument/2006/relationships/hyperlink" Target="https://app.powerbi.com/groups/4f9c84ba-b5d3-4eda-a86b-41fbb3b3bc4a/reports/af9ba6b3-8092-4e0c-bb52-4f8903b1b861/77b2e5ed1050bc711c70?experience=power-bi" TargetMode="External"/><Relationship Id="rId60" Type="http://schemas.openxmlformats.org/officeDocument/2006/relationships/hyperlink" Target="https://churchofjesuschrist-my.sharepoint.com/:x:/r/personal/marielapezzali_churchofjesuschrist_org/_layouts/15/doc2.aspx?sourcedoc=%7BE457146E-C7EF-4FCF-BA07-BA8720CAB115%7D&amp;file=DOS%20KPIs.xlsx&amp;action=default&amp;mobileredirect=true&amp;wdOrigin=APPHOME-WEB.DIRECT%2CAPPHOME-WEB.FILEBROWSER.RECENT&amp;wdPreviousSession=179d50c1-f9ba-4f93-92a3-310f6d3d7ce5&amp;wdPreviousSessionSrc=AppHomeWeb&amp;ct=1785355617397" TargetMode="External"/><Relationship Id="rId65" Type="http://schemas.openxmlformats.org/officeDocument/2006/relationships/hyperlink" Target="https://app.powerbi.com/groups/4f9c84ba-b5d3-4eda-a86b-41fbb3b3bc4a/reports/af9ba6b3-8092-4e0c-bb52-4f8903b1b861/acd0ee0b785069a6a598?experience=power-bi" TargetMode="External"/><Relationship Id="rId73" Type="http://schemas.openxmlformats.org/officeDocument/2006/relationships/hyperlink" Target="https://app.powerbi.com/groups/me/apps/d4fe7f49-1b93-41aa-9e7d-6ee6d5ec3eb0/reports/32370e33-dc03-418d-9403-25cfd508af0b/ReportSection9394f2e53928728d117e?experience=power-bi" TargetMode="External"/><Relationship Id="rId78" Type="http://schemas.openxmlformats.org/officeDocument/2006/relationships/vmlDrawing" Target="../drawings/vmlDrawing4.vml"/><Relationship Id="rId4" Type="http://schemas.openxmlformats.org/officeDocument/2006/relationships/hyperlink" Target="https://app.powerbi.com/groups/me/apps/edf61692-3af5-4aba-af7e-ef1de76ce451/reports/70c7e184-e400-4cac-9500-f8ec201a252b/ReportSection9394f2e53928728d117e?ctid=61e6eeb3-5fd7-4aaa-ae3c-61e8deb09b79&amp;experience=power-bi" TargetMode="External"/><Relationship Id="rId9" Type="http://schemas.openxmlformats.org/officeDocument/2006/relationships/hyperlink" Target="https://app.powerbi.com/groups/4f9c84ba-b5d3-4eda-a86b-41fbb3b3bc4a/reports/af9ba6b3-8092-4e0c-bb52-4f8903b1b861/77b2e5ed1050bc711c70?experience=power-bi" TargetMode="External"/><Relationship Id="rId13" Type="http://schemas.openxmlformats.org/officeDocument/2006/relationships/hyperlink" Target="https://churchofjesuschrist.sharepoint.com/:x:/s/Graduation.BYUPW-QualityAssurance/IQAIXHl79_ZlRp-UNgYAtB1mAZIoT-aqOHzJcB-rKB4cdnc?e=dZpLcx&amp;isSPOFile=1&amp;xsdata=MDV8MDJ8fDE0MmZlZjNhYzI3YzRhZjdmMTQzMDhkZWU2ODIwMjBifDYxZTZlZWIzNWZkNzRhYWFhZTNjNjFlOGRlYjA5Yjc5fDB8MHw2MzkyMDE2NDMxODc2Nzk5NjN8VW5rbm93bnxWR1ZoYlhOVFpXTjFjbWwwZVZObGNuWnBZMlY4ZXlKRFFTSTZJbFJsWVcxelgwRlVVRk5sY25acFkyVmZVMUJQVEU5R0lpd2lWaUk2SWpBdU1DNHdNREF3SWl3aVVDSTZJbGRwYmpNeUlpd2lRVTRpT2lKUGRHaGxjaUlzSWxkVUlqb3hNWDA9fDF8TDJOb1lYUnpMekU1T20xbFpYUnBibWRmVGtSS2FWbHRUVFZQUkUxMFRsUmpOVmw1TURCT2VrbDVURmRGTTFscVJYUmFSRVYzV2tkT2FFMTZUbWxPUjFsNVFIUm9jbVZoWkM1Mk1pOXRaWE56WVdkbGN5OHhOemcwTlRZM05URTJOelE1fDM3YzczZmZmYjVkMTQ1ODBhMmQxMDhkZWU2ODIwMjBifGNiODZiMTMxY2NhZDQxYzFhMWMzNjRjOGRjZGEyZThm&amp;sdata=UG02bi82c3VmNHhOWXN3WVhTajdGNWtOZ3MrbGZSUjUwN3A5K3RIQlpWdz0%3D&amp;ovuser=61e6eeb3-5fd7-4aaa-ae3c-61e8deb09b79%2CMAbioye%40churchofjesuschrist.org" TargetMode="External"/><Relationship Id="rId18" Type="http://schemas.openxmlformats.org/officeDocument/2006/relationships/hyperlink" Target="https://app.powerbi.com/Redirect?action=OpenReport&amp;appId=d4fe7f49-1b93-41aa-9e7d-6ee6d5ec3eb0&amp;reportObjectId=4679386d-8e13-43fa-9be7-6c5c504ce07a&amp;ctid=61e6eeb3-5fd7-4aaa-ae3c-61e8deb09b79&amp;reportPage=004a8c4d49c762e03b5d&amp;pbi_source=appShareLink&amp;portalSessionId=78f4edc2-9814-43bc-bc67-b03ff6a08911" TargetMode="External"/><Relationship Id="rId39" Type="http://schemas.openxmlformats.org/officeDocument/2006/relationships/hyperlink" Target="https://app.powerbi.com/groups/4f9c84ba-b5d3-4eda-a86b-41fbb3b3bc4a/reports/af9ba6b3-8092-4e0c-bb52-4f8903b1b861/acd0ee0b785069a6a598?experience=power-bi" TargetMode="External"/><Relationship Id="rId34" Type="http://schemas.openxmlformats.org/officeDocument/2006/relationships/hyperlink" Target="https://app.powerbi.com/Redirect?action=OpenReport&amp;appId=d4fe7f49-1b93-41aa-9e7d-6ee6d5ec3eb0&amp;reportObjectId=7177fab9-23b0-4184-8f31-f0db822282c0&amp;ctid=61e6eeb3-5fd7-4aaa-ae3c-61e8deb09b79&amp;reportPage=ReportSection964c860de430a5035bab&amp;pbi_source=appShareLink&amp;portalSessionId=04e4cd1a-8779-483e-a338-581068ced021" TargetMode="External"/><Relationship Id="rId50" Type="http://schemas.openxmlformats.org/officeDocument/2006/relationships/hyperlink" Target="https://app.powerbi.com/groups/4f9c84ba-b5d3-4eda-a86b-41fbb3b3bc4a/reports/af9ba6b3-8092-4e0c-bb52-4f8903b1b861/4c2855c01a3caaf171d0?experience=power-bi" TargetMode="External"/><Relationship Id="rId55" Type="http://schemas.openxmlformats.org/officeDocument/2006/relationships/hyperlink" Target="https://app.powerbi.com/groups/me/apps/d4fe7f49-1b93-41aa-9e7d-6ee6d5ec3eb0/reports/20549c98-8ffc-4600-b08a-67e5f927e9d6/23134ede7649a89fe09c?experience=power-bi" TargetMode="External"/><Relationship Id="rId76" Type="http://schemas.openxmlformats.org/officeDocument/2006/relationships/hyperlink" Target="https://byupathwayworldwideprod.sharepoint.com/sites/PowerBIReports/SitePages/Transcripts-Report.aspx?source=https%3A%2F%2Fbyupathwayworldwideprod.sharepoint.com%2Fsites%2FPowerBIReports%2FSitePages%2FForms%2FByAuthor.aspx&amp;xsdata=MDV8MDJ8fDZkNzVkYmQ2OTZhNzRhNWVjOWZlMDhkZWVmMTQ3YTEyfDYxZTZlZWIzNWZkNzRhYWFhZTNjNjFlOGRlYjA5Yjc5fDB8MHw2MzkyMTEwNjgzNTk2NTY5MjV8VW5rbm93bnxWR1ZoYlhOVFpXTjFjbWwwZVZObGNuWnBZMlY4ZXlKRFFTSTZJbFJsWVcxelgwRlVVRk5sY25acFkyVmZVMUJQVEU5R0lpd2lWaUk2SWpBdU1DNHdNREF3SWl3aVVDSTZJbGRwYmpNeUlpd2lRVTRpT2lKUGRHaGxjaUlzSWxkVUlqb3hNWDA9fDF8TDJOb1lYUnpMekU1T2pZell6Z3hORGd6TFdRd1ptSXROR1V3TVMxaE4ySTBMVGd6TlRNd01UWTRNbVkxTlY4M01tUmhZbVEyWmkxallqUXlMVFEzTXpJdE9HTmpOUzB6TlRSbFlqY3pPRFV5T1dWQWRXNXhMbWRpYkM1emNHRmpaWE12YldWemMyRm5aWE12TVRjNE5UVXhNREF6TXpFM01BPT18MzViYmZhMjhiNGJjNDI5OTY5NmMwOGRlZWYxNDdhMTJ8ZDYwMGUyZDY4MTI4NDNiNDk1MDAxOTk5MWIwM2JmYzU%3D&amp;sdata=UHVINW14Uk9jNTY3ak5JNi9hc2psbTN6V05GZ2tGbXdsejQ0bXRzWFVFcz0%3D&amp;ovuser=61e6eeb3-5fd7-4aaa-ae3c-61e8deb09b79%2CMAbioye%40churchofjesuschrist.org" TargetMode="External"/><Relationship Id="rId7" Type="http://schemas.openxmlformats.org/officeDocument/2006/relationships/hyperlink" Target="https://app.powerbi.com/groups/4f9c84ba-b5d3-4eda-a86b-41fbb3b3bc4a/reports/af9ba6b3-8092-4e0c-bb52-4f8903b1b861/77b2e5ed1050bc711c70?experience=power-bi" TargetMode="External"/><Relationship Id="rId71" Type="http://schemas.openxmlformats.org/officeDocument/2006/relationships/hyperlink" Target="https://app.powerbi.com/groups/4f9c84ba-b5d3-4eda-a86b-41fbb3b3bc4a/reports/af9ba6b3-8092-4e0c-bb52-4f8903b1b861/1afb91a1da6d47c71041?experience=power-bi" TargetMode="External"/><Relationship Id="rId2" Type="http://schemas.openxmlformats.org/officeDocument/2006/relationships/hyperlink" Target="https://app.powerbi.com/Redirect?action=OpenReport&amp;appId=d4fe7f49-1b93-41aa-9e7d-6ee6d5ec3eb0&amp;reportObjectId=58eb3239-b972-4ee8-8645-fcf195f36c96&amp;ctid=61e6eeb3-5fd7-4aaa-ae3c-61e8deb09b79&amp;reportPage=02d230574060475bc0e4&amp;pbi_source=appShareLink&amp;portalSessionId=90e3d628-0853-431e-a924-80acd7dbd750" TargetMode="External"/><Relationship Id="rId29" Type="http://schemas.openxmlformats.org/officeDocument/2006/relationships/hyperlink" Target="https://app.powerbi.com/Redirect?action=OpenReport&amp;appId=d4fe7f49-1b93-41aa-9e7d-6ee6d5ec3eb0&amp;reportObjectId=1d513597-8eb5-4912-8692-96ff2a683a51&amp;ctid=61e6eeb3-5fd7-4aaa-ae3c-61e8deb09b79&amp;reportPage=0209ae92d2720717522a&amp;pbi_source=appShareLink&amp;portalSessionId=c8279588-5339-490f-bd8a-0cbc06437598"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app.powerbi.com/groups/me/apps/edf61692-3af5-4aba-af7e-ef1de76ce451/reports/7f263ef8-0c4e-4dbd-8c84-2d5d029a1085/e5ac827acf52df1bdc6a?ctid=61e6eeb3-5fd7-4aaa-ae3c-61e8deb09b79&amp;experience=power-bi%20/%20https://app.powerbi.com/groups/me/apps/edf61692-3af5-4aba-af7e-ef1de76ce451/reports/7f263ef8-0c4e-4dbd-8c84-2d5d029a1085/185501d1d1107d800e43?ctid=61e6eeb3-5fd7-4aaa-ae3c-61e8deb09b79&amp;experience=power-b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AA8FE-2FB8-478A-A01D-A954A1FA683F}">
  <dimension ref="A1:D7"/>
  <sheetViews>
    <sheetView workbookViewId="0">
      <pane ySplit="1" topLeftCell="A2" activePane="bottomLeft" state="frozen"/>
      <selection pane="bottomLeft" activeCell="C15" sqref="C15"/>
    </sheetView>
  </sheetViews>
  <sheetFormatPr defaultColWidth="8.85546875" defaultRowHeight="14.45"/>
  <cols>
    <col min="1" max="1" width="4" customWidth="1"/>
    <col min="2" max="2" width="62.140625" bestFit="1" customWidth="1"/>
    <col min="3" max="3" width="29.85546875" style="2" customWidth="1"/>
    <col min="4" max="4" width="40.28515625" style="2" customWidth="1"/>
  </cols>
  <sheetData>
    <row r="1" spans="1:4">
      <c r="A1" s="3" t="s">
        <v>0</v>
      </c>
      <c r="B1" s="3" t="s">
        <v>1</v>
      </c>
      <c r="C1" s="4" t="s">
        <v>2</v>
      </c>
      <c r="D1" s="4" t="s">
        <v>3</v>
      </c>
    </row>
    <row r="2" spans="1:4" ht="28.9">
      <c r="A2" s="5">
        <v>1</v>
      </c>
      <c r="B2" s="5" t="s">
        <v>4</v>
      </c>
      <c r="C2" s="6" t="s">
        <v>5</v>
      </c>
      <c r="D2" s="6" t="s">
        <v>6</v>
      </c>
    </row>
    <row r="3" spans="1:4" ht="43.15">
      <c r="A3" s="5">
        <v>2</v>
      </c>
      <c r="B3" s="5" t="s">
        <v>7</v>
      </c>
      <c r="C3" s="6" t="s">
        <v>8</v>
      </c>
      <c r="D3" s="6" t="s">
        <v>9</v>
      </c>
    </row>
    <row r="4" spans="1:4">
      <c r="A4" s="5">
        <v>3</v>
      </c>
      <c r="B4" s="5" t="s">
        <v>10</v>
      </c>
      <c r="C4" s="6" t="s">
        <v>11</v>
      </c>
      <c r="D4" s="6" t="s">
        <v>12</v>
      </c>
    </row>
    <row r="5" spans="1:4" ht="28.9">
      <c r="A5" s="5">
        <v>4</v>
      </c>
      <c r="B5" s="5" t="s">
        <v>13</v>
      </c>
      <c r="C5" s="6"/>
      <c r="D5" s="6" t="s">
        <v>14</v>
      </c>
    </row>
    <row r="6" spans="1:4" ht="28.9">
      <c r="A6" s="7">
        <v>5</v>
      </c>
      <c r="B6" s="7" t="s">
        <v>15</v>
      </c>
      <c r="C6" s="8" t="s">
        <v>16</v>
      </c>
      <c r="D6" s="8" t="s">
        <v>17</v>
      </c>
    </row>
    <row r="7" spans="1:4" ht="43.15">
      <c r="A7" s="5">
        <v>6</v>
      </c>
      <c r="B7" s="5" t="s">
        <v>18</v>
      </c>
      <c r="C7" s="6" t="s">
        <v>19</v>
      </c>
      <c r="D7" s="6"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20C84-4E9E-4C71-A277-534DDEA0FB96}">
  <dimension ref="A1:G27"/>
  <sheetViews>
    <sheetView workbookViewId="0">
      <selection activeCell="B1" sqref="B1:D1"/>
    </sheetView>
  </sheetViews>
  <sheetFormatPr defaultColWidth="12.42578125" defaultRowHeight="14.45"/>
  <cols>
    <col min="1" max="1" width="13.28515625" customWidth="1"/>
    <col min="2" max="7" width="29.42578125" customWidth="1"/>
  </cols>
  <sheetData>
    <row r="1" spans="1:7" ht="15.6">
      <c r="A1" s="145"/>
      <c r="B1" s="146" t="s">
        <v>21</v>
      </c>
      <c r="C1" s="146"/>
      <c r="D1" s="146"/>
      <c r="E1" s="147" t="s">
        <v>22</v>
      </c>
      <c r="F1" s="147"/>
      <c r="G1" s="147"/>
    </row>
    <row r="2" spans="1:7" ht="15.6">
      <c r="A2" s="145"/>
      <c r="B2" s="25" t="s">
        <v>23</v>
      </c>
      <c r="C2" s="25" t="s">
        <v>24</v>
      </c>
      <c r="D2" s="25" t="s">
        <v>25</v>
      </c>
      <c r="E2" s="26" t="s">
        <v>26</v>
      </c>
      <c r="F2" s="26" t="s">
        <v>27</v>
      </c>
      <c r="G2" s="26" t="s">
        <v>28</v>
      </c>
    </row>
    <row r="3" spans="1:7" ht="131.1" customHeight="1">
      <c r="A3" s="27" t="s">
        <v>29</v>
      </c>
      <c r="B3" s="28" t="s">
        <v>30</v>
      </c>
      <c r="C3" s="28" t="s">
        <v>31</v>
      </c>
      <c r="D3" s="28" t="s">
        <v>32</v>
      </c>
      <c r="E3" s="28" t="s">
        <v>33</v>
      </c>
      <c r="F3" s="28" t="s">
        <v>34</v>
      </c>
      <c r="G3" s="28" t="s">
        <v>35</v>
      </c>
    </row>
    <row r="4" spans="1:7" ht="131.1" customHeight="1">
      <c r="A4" s="27" t="s">
        <v>36</v>
      </c>
      <c r="B4" s="28" t="s">
        <v>37</v>
      </c>
      <c r="C4" s="28" t="s">
        <v>38</v>
      </c>
      <c r="D4" s="28" t="s">
        <v>39</v>
      </c>
      <c r="E4" s="28" t="s">
        <v>40</v>
      </c>
      <c r="F4" s="28" t="s">
        <v>41</v>
      </c>
      <c r="G4" s="28" t="s">
        <v>42</v>
      </c>
    </row>
    <row r="14" spans="1:7" ht="15.6">
      <c r="G14" s="29"/>
    </row>
    <row r="19" spans="2:4">
      <c r="B19" s="30" t="s">
        <v>1</v>
      </c>
      <c r="C19" s="31" t="s">
        <v>3</v>
      </c>
      <c r="D19" s="31" t="s">
        <v>2</v>
      </c>
    </row>
    <row r="20" spans="2:4" ht="63" customHeight="1">
      <c r="B20" s="32" t="s">
        <v>43</v>
      </c>
      <c r="C20" s="32" t="s">
        <v>44</v>
      </c>
      <c r="D20" s="32" t="s">
        <v>45</v>
      </c>
    </row>
    <row r="21" spans="2:4" ht="63" customHeight="1">
      <c r="B21" s="32" t="s">
        <v>46</v>
      </c>
      <c r="C21" s="32" t="s">
        <v>47</v>
      </c>
      <c r="D21" s="32"/>
    </row>
    <row r="22" spans="2:4" ht="125.25" customHeight="1">
      <c r="B22" s="32" t="s">
        <v>48</v>
      </c>
      <c r="C22" s="32" t="s">
        <v>49</v>
      </c>
      <c r="D22" s="38" t="s">
        <v>50</v>
      </c>
    </row>
    <row r="23" spans="2:4" ht="83.25" customHeight="1">
      <c r="B23" s="32" t="s">
        <v>7</v>
      </c>
      <c r="C23" s="32" t="s">
        <v>51</v>
      </c>
      <c r="D23" s="32"/>
    </row>
    <row r="24" spans="2:4" ht="28.9">
      <c r="B24" s="32" t="s">
        <v>10</v>
      </c>
      <c r="C24" s="32" t="s">
        <v>12</v>
      </c>
      <c r="D24" s="32" t="s">
        <v>11</v>
      </c>
    </row>
    <row r="25" spans="2:4" ht="43.15">
      <c r="B25" s="32" t="s">
        <v>13</v>
      </c>
      <c r="C25" s="32" t="s">
        <v>14</v>
      </c>
      <c r="D25" s="32"/>
    </row>
    <row r="26" spans="2:4" ht="28.9">
      <c r="B26" s="33" t="s">
        <v>15</v>
      </c>
      <c r="C26" s="33" t="s">
        <v>17</v>
      </c>
      <c r="D26" s="33" t="s">
        <v>16</v>
      </c>
    </row>
    <row r="27" spans="2:4" ht="57.6">
      <c r="B27" s="32" t="s">
        <v>18</v>
      </c>
      <c r="C27" s="32" t="s">
        <v>20</v>
      </c>
      <c r="D27" s="32" t="s">
        <v>19</v>
      </c>
    </row>
  </sheetData>
  <mergeCells count="3">
    <mergeCell ref="A1:A2"/>
    <mergeCell ref="B1:D1"/>
    <mergeCell ref="E1:G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DC694-CD1D-4079-B286-BE7C481C2831}">
  <sheetPr>
    <tabColor theme="4" tint="-0.249977111117893"/>
  </sheetPr>
  <dimension ref="A1:Z25"/>
  <sheetViews>
    <sheetView zoomScale="90" zoomScaleNormal="90" workbookViewId="0">
      <pane xSplit="1" ySplit="2" topLeftCell="B4" activePane="bottomRight" state="frozen"/>
      <selection pane="bottomRight" activeCell="A8" sqref="A8"/>
      <selection pane="bottomLeft"/>
      <selection pane="topRight"/>
    </sheetView>
  </sheetViews>
  <sheetFormatPr defaultColWidth="8.85546875" defaultRowHeight="15" customHeight="1" zeroHeight="1"/>
  <cols>
    <col min="1" max="1" width="19" customWidth="1"/>
    <col min="2" max="2" width="18.7109375" bestFit="1" customWidth="1"/>
    <col min="3" max="3" width="13.28515625" customWidth="1"/>
    <col min="4" max="4" width="38.140625" style="40" customWidth="1"/>
    <col min="5" max="5" width="31.85546875" customWidth="1"/>
    <col min="6" max="6" width="41.85546875" customWidth="1"/>
    <col min="7" max="7" width="27.42578125" customWidth="1"/>
    <col min="8" max="8" width="18.7109375" customWidth="1"/>
    <col min="9" max="9" width="20.85546875" customWidth="1"/>
    <col min="10" max="10" width="19.28515625" customWidth="1"/>
    <col min="25" max="26" width="34.140625" customWidth="1"/>
  </cols>
  <sheetData>
    <row r="1" spans="1:26" ht="15.6">
      <c r="A1" s="148" t="s">
        <v>52</v>
      </c>
      <c r="B1" s="148"/>
      <c r="C1" s="148"/>
      <c r="D1" s="120"/>
      <c r="E1" s="149" t="s">
        <v>21</v>
      </c>
      <c r="F1" s="149"/>
      <c r="G1" s="150"/>
      <c r="H1" s="151" t="s">
        <v>53</v>
      </c>
      <c r="I1" s="151"/>
      <c r="J1" s="151"/>
    </row>
    <row r="2" spans="1:26" s="2" customFormat="1" ht="38.25" customHeight="1">
      <c r="A2" s="35" t="s">
        <v>54</v>
      </c>
      <c r="B2" s="35" t="s">
        <v>55</v>
      </c>
      <c r="C2" s="35" t="s">
        <v>56</v>
      </c>
      <c r="D2" s="35" t="s">
        <v>57</v>
      </c>
      <c r="E2" s="121" t="s">
        <v>23</v>
      </c>
      <c r="F2" s="121" t="s">
        <v>24</v>
      </c>
      <c r="G2" s="121" t="s">
        <v>25</v>
      </c>
      <c r="H2" s="122" t="s">
        <v>26</v>
      </c>
      <c r="I2" s="122" t="s">
        <v>27</v>
      </c>
      <c r="J2" s="122" t="s">
        <v>28</v>
      </c>
    </row>
    <row r="3" spans="1:26" ht="126.75" customHeight="1">
      <c r="A3" s="45" t="s">
        <v>58</v>
      </c>
      <c r="B3" s="45" t="s">
        <v>59</v>
      </c>
      <c r="C3" s="45" t="s">
        <v>60</v>
      </c>
      <c r="D3" s="46" t="s">
        <v>61</v>
      </c>
      <c r="E3" s="123"/>
      <c r="F3" s="123" t="s">
        <v>62</v>
      </c>
      <c r="G3" s="124" t="s">
        <v>63</v>
      </c>
      <c r="H3" s="125"/>
      <c r="I3" s="126" t="s">
        <v>64</v>
      </c>
      <c r="J3" s="125"/>
      <c r="Y3" s="54" t="str">
        <f>_xlfn.TEXTJOIN(CHAR(10), TRUE, E3:G3)</f>
        <v>No material audit findings attributable to Dean of Students governance
No legal findings attributable to Dean of Students governance
No accreditation findings attributable to Dean of Students governance
Annual DOS budget</v>
      </c>
      <c r="Z3" s="54" t="str">
        <f>_xlfn.TEXTJOIN(CHAR(10), TRUE, H3:J3)</f>
        <v>Overall student satisfaction (primary)</v>
      </c>
    </row>
    <row r="4" spans="1:26" ht="71.25" customHeight="1">
      <c r="A4" s="36" t="s">
        <v>65</v>
      </c>
      <c r="B4" s="36" t="s">
        <v>66</v>
      </c>
      <c r="C4" s="36" t="s">
        <v>60</v>
      </c>
      <c r="D4" s="44" t="s">
        <v>67</v>
      </c>
      <c r="E4" s="48" t="s">
        <v>68</v>
      </c>
      <c r="F4" s="51" t="s">
        <v>69</v>
      </c>
      <c r="G4" s="127"/>
      <c r="H4" s="50"/>
      <c r="I4" s="50"/>
      <c r="J4" s="128"/>
      <c r="Y4" s="54" t="str">
        <f t="shared" ref="Y4:Y9" si="0">_xlfn.TEXTJOIN(CHAR(10), TRUE, E4:G4)</f>
        <v>Dean of Students response time
Dean of Students resolution time
Dean of Students services escalation rates
Partner C-Sat</v>
      </c>
      <c r="Z4" s="54" t="str">
        <f t="shared" ref="Z4:Z9" si="1">_xlfn.TEXTJOIN(CHAR(10), TRUE, H4:J4)</f>
        <v/>
      </c>
    </row>
    <row r="5" spans="1:26" ht="78.75" customHeight="1">
      <c r="A5" s="36" t="s">
        <v>70</v>
      </c>
      <c r="B5" s="36" t="s">
        <v>71</v>
      </c>
      <c r="C5" s="36" t="s">
        <v>60</v>
      </c>
      <c r="D5" s="44" t="s">
        <v>72</v>
      </c>
      <c r="E5" s="58" t="s">
        <v>73</v>
      </c>
      <c r="F5" s="51" t="s">
        <v>74</v>
      </c>
      <c r="G5" s="127"/>
      <c r="H5" s="50"/>
      <c r="I5" s="128"/>
      <c r="J5" s="128"/>
      <c r="Y5" s="54" t="str">
        <f t="shared" si="0"/>
        <v>Honor and Conduct response time
Honor and Conduct resolution time
Rate of repeat offenders</v>
      </c>
      <c r="Z5" s="54" t="str">
        <f t="shared" si="1"/>
        <v/>
      </c>
    </row>
    <row r="6" spans="1:26" ht="75" customHeight="1">
      <c r="A6" s="36" t="s">
        <v>75</v>
      </c>
      <c r="B6" s="36" t="s">
        <v>76</v>
      </c>
      <c r="C6" s="36" t="s">
        <v>60</v>
      </c>
      <c r="D6" s="44" t="s">
        <v>77</v>
      </c>
      <c r="E6" s="48"/>
      <c r="F6" s="51" t="s">
        <v>78</v>
      </c>
      <c r="G6" s="127"/>
      <c r="H6" s="50"/>
      <c r="I6" s="50"/>
      <c r="J6" s="50"/>
      <c r="Y6" s="54" t="str">
        <f>_xlfn.TEXTJOIN(CHAR(10), TRUE, E6:G6)</f>
        <v>Discrimination resolution rate 
Student sentiment on belonging
CSAT for Student Belonging</v>
      </c>
      <c r="Z6" s="54" t="str">
        <f>_xlfn.TEXTJOIN(CHAR(10), TRUE, H6:J6)</f>
        <v/>
      </c>
    </row>
    <row r="7" spans="1:26" ht="99" customHeight="1">
      <c r="A7" s="36" t="s">
        <v>79</v>
      </c>
      <c r="B7" s="36" t="s">
        <v>80</v>
      </c>
      <c r="C7" s="36" t="s">
        <v>81</v>
      </c>
      <c r="D7" s="44" t="s">
        <v>82</v>
      </c>
      <c r="E7" s="48" t="s">
        <v>83</v>
      </c>
      <c r="F7" s="52" t="s">
        <v>84</v>
      </c>
      <c r="G7" s="127"/>
      <c r="H7" s="50"/>
      <c r="I7" s="50"/>
      <c r="J7" s="50"/>
      <c r="Y7" s="54" t="str">
        <f t="shared" si="0"/>
        <v>Accommodation determination processing rate
Accommodation resolution rate
ADA and Section 504 standard compliance rate
ADA and Section 504 Audit compliance rate</v>
      </c>
      <c r="Z7" s="54" t="str">
        <f t="shared" si="1"/>
        <v/>
      </c>
    </row>
    <row r="8" spans="1:26" ht="60.75" customHeight="1">
      <c r="A8" s="36" t="s">
        <v>85</v>
      </c>
      <c r="B8" s="36" t="s">
        <v>86</v>
      </c>
      <c r="C8" s="36" t="s">
        <v>81</v>
      </c>
      <c r="D8" s="44" t="s">
        <v>87</v>
      </c>
      <c r="E8" s="48" t="s">
        <v>88</v>
      </c>
      <c r="F8" s="51" t="s">
        <v>89</v>
      </c>
      <c r="G8" s="127"/>
      <c r="H8" s="50"/>
      <c r="I8" s="128"/>
      <c r="J8" s="128"/>
      <c r="Y8" s="54" t="str">
        <f t="shared" si="0"/>
        <v>Student grievance case resolution time
Grievance QA</v>
      </c>
      <c r="Z8" s="54" t="str">
        <f t="shared" si="1"/>
        <v/>
      </c>
    </row>
    <row r="9" spans="1:26" ht="60.75" customHeight="1">
      <c r="A9" s="36" t="s">
        <v>90</v>
      </c>
      <c r="B9" s="36" t="s">
        <v>91</v>
      </c>
      <c r="C9" s="36" t="s">
        <v>81</v>
      </c>
      <c r="D9" s="44" t="s">
        <v>92</v>
      </c>
      <c r="E9" s="48" t="s">
        <v>93</v>
      </c>
      <c r="F9" s="53"/>
      <c r="G9" s="127"/>
      <c r="H9" s="50"/>
      <c r="I9" s="128"/>
      <c r="J9" s="128"/>
      <c r="Y9" s="54" t="str">
        <f t="shared" si="0"/>
        <v>Crisis response time</v>
      </c>
      <c r="Z9" s="54" t="str">
        <f t="shared" si="1"/>
        <v/>
      </c>
    </row>
    <row r="10" spans="1:26" ht="14.45" hidden="1">
      <c r="Y10" s="54" t="str">
        <f t="shared" ref="Y10" si="2">_xlfn.TEXTJOIN(CHAR(10), TRUE, D10:F10)</f>
        <v/>
      </c>
      <c r="Z10" s="54" t="str">
        <f t="shared" ref="Z10" si="3">_xlfn.TEXTJOIN(CHAR(10), TRUE, G10:I10)</f>
        <v/>
      </c>
    </row>
    <row r="11" spans="1:26" ht="14.45" hidden="1">
      <c r="Y11" s="54" t="str">
        <f t="shared" ref="Y11:Y24" si="4">_xlfn.TEXTJOIN(" | ", TRUE, D11:F11)</f>
        <v/>
      </c>
      <c r="Z11" s="54" t="str">
        <f t="shared" ref="Z11:Z24" si="5">_xlfn.TEXTJOIN(" | ", TRUE, G11:I11)</f>
        <v/>
      </c>
    </row>
    <row r="12" spans="1:26" ht="14.45" hidden="1">
      <c r="Y12" s="54" t="str">
        <f t="shared" si="4"/>
        <v/>
      </c>
      <c r="Z12" s="54" t="str">
        <f t="shared" si="5"/>
        <v/>
      </c>
    </row>
    <row r="13" spans="1:26" ht="14.45" hidden="1">
      <c r="Y13" s="54" t="str">
        <f t="shared" si="4"/>
        <v/>
      </c>
      <c r="Z13" s="54" t="str">
        <f t="shared" si="5"/>
        <v/>
      </c>
    </row>
    <row r="14" spans="1:26" ht="14.45" hidden="1">
      <c r="Y14" s="54" t="str">
        <f t="shared" si="4"/>
        <v/>
      </c>
      <c r="Z14" s="54" t="str">
        <f t="shared" si="5"/>
        <v/>
      </c>
    </row>
    <row r="15" spans="1:26" ht="14.45" hidden="1">
      <c r="Y15" s="54" t="str">
        <f t="shared" si="4"/>
        <v/>
      </c>
      <c r="Z15" s="54" t="str">
        <f t="shared" si="5"/>
        <v/>
      </c>
    </row>
    <row r="16" spans="1:26" ht="14.45" hidden="1">
      <c r="Y16" s="54" t="str">
        <f t="shared" si="4"/>
        <v/>
      </c>
      <c r="Z16" s="54" t="str">
        <f t="shared" si="5"/>
        <v/>
      </c>
    </row>
    <row r="17" spans="25:26" ht="14.45" hidden="1">
      <c r="Y17" s="54" t="str">
        <f t="shared" si="4"/>
        <v/>
      </c>
      <c r="Z17" s="54" t="str">
        <f t="shared" si="5"/>
        <v/>
      </c>
    </row>
    <row r="18" spans="25:26" ht="14.45" hidden="1">
      <c r="Y18" s="54" t="str">
        <f t="shared" si="4"/>
        <v/>
      </c>
      <c r="Z18" s="54" t="str">
        <f t="shared" si="5"/>
        <v/>
      </c>
    </row>
    <row r="19" spans="25:26" ht="14.45" hidden="1">
      <c r="Y19" s="54" t="str">
        <f t="shared" si="4"/>
        <v/>
      </c>
      <c r="Z19" s="54" t="str">
        <f t="shared" si="5"/>
        <v/>
      </c>
    </row>
    <row r="20" spans="25:26" ht="14.45" hidden="1">
      <c r="Y20" s="54" t="str">
        <f t="shared" si="4"/>
        <v/>
      </c>
      <c r="Z20" s="54" t="str">
        <f t="shared" si="5"/>
        <v/>
      </c>
    </row>
    <row r="21" spans="25:26" ht="14.45" hidden="1">
      <c r="Y21" s="54" t="str">
        <f t="shared" si="4"/>
        <v/>
      </c>
      <c r="Z21" s="54" t="str">
        <f t="shared" si="5"/>
        <v/>
      </c>
    </row>
    <row r="22" spans="25:26" ht="14.45" hidden="1">
      <c r="Y22" s="54" t="str">
        <f t="shared" si="4"/>
        <v/>
      </c>
      <c r="Z22" s="54" t="str">
        <f t="shared" si="5"/>
        <v/>
      </c>
    </row>
    <row r="23" spans="25:26" ht="14.45" hidden="1">
      <c r="Y23" s="54" t="str">
        <f t="shared" si="4"/>
        <v/>
      </c>
      <c r="Z23" s="54" t="str">
        <f t="shared" si="5"/>
        <v/>
      </c>
    </row>
    <row r="24" spans="25:26" ht="14.45" hidden="1">
      <c r="Y24" s="54" t="str">
        <f t="shared" si="4"/>
        <v/>
      </c>
      <c r="Z24" s="54" t="str">
        <f t="shared" si="5"/>
        <v/>
      </c>
    </row>
    <row r="25" spans="25:26" ht="15" customHeight="1"/>
  </sheetData>
  <mergeCells count="3">
    <mergeCell ref="A1:C1"/>
    <mergeCell ref="E1:G1"/>
    <mergeCell ref="H1:J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91D43-FB57-418F-9378-D28E8577471E}">
  <sheetPr>
    <tabColor theme="9" tint="-0.249977111117893"/>
  </sheetPr>
  <dimension ref="A1:AA42"/>
  <sheetViews>
    <sheetView zoomScale="110" zoomScaleNormal="110" workbookViewId="0">
      <pane xSplit="1" ySplit="2" topLeftCell="B3" activePane="bottomRight" state="frozen"/>
      <selection pane="bottomRight" activeCell="B6" sqref="B6"/>
      <selection pane="bottomLeft"/>
      <selection pane="topRight"/>
    </sheetView>
  </sheetViews>
  <sheetFormatPr defaultColWidth="8.85546875" defaultRowHeight="15" customHeight="1" zeroHeight="1"/>
  <cols>
    <col min="1" max="1" width="23.140625" style="2" customWidth="1"/>
    <col min="2" max="3" width="19" style="2" customWidth="1"/>
    <col min="4" max="4" width="45.42578125" style="81" customWidth="1"/>
    <col min="5" max="5" width="24.28515625" style="81" customWidth="1"/>
    <col min="6" max="6" width="32.7109375" style="2" customWidth="1"/>
    <col min="7" max="7" width="30.5703125" style="2" customWidth="1"/>
    <col min="8" max="9" width="21.85546875" style="2" customWidth="1"/>
    <col min="10" max="10" width="24.85546875" style="2" customWidth="1"/>
    <col min="11" max="25" width="8.85546875" style="2"/>
    <col min="26" max="27" width="27.140625" style="2" customWidth="1"/>
    <col min="28" max="16384" width="8.85546875" style="2"/>
  </cols>
  <sheetData>
    <row r="1" spans="1:27" ht="15.6">
      <c r="A1" s="152" t="s">
        <v>94</v>
      </c>
      <c r="B1" s="152"/>
      <c r="C1" s="153"/>
      <c r="D1" s="118"/>
      <c r="E1" s="154" t="s">
        <v>21</v>
      </c>
      <c r="F1" s="154"/>
      <c r="G1" s="155"/>
      <c r="H1" s="156" t="s">
        <v>22</v>
      </c>
      <c r="I1" s="156"/>
      <c r="J1" s="156"/>
    </row>
    <row r="2" spans="1:27" ht="15.6">
      <c r="A2" s="34" t="s">
        <v>95</v>
      </c>
      <c r="B2" s="34" t="s">
        <v>96</v>
      </c>
      <c r="C2" s="35" t="s">
        <v>56</v>
      </c>
      <c r="D2" s="35" t="s">
        <v>57</v>
      </c>
      <c r="E2" s="82" t="s">
        <v>23</v>
      </c>
      <c r="F2" s="77" t="s">
        <v>24</v>
      </c>
      <c r="G2" s="78" t="s">
        <v>25</v>
      </c>
      <c r="H2" s="79" t="s">
        <v>26</v>
      </c>
      <c r="I2" s="79" t="s">
        <v>27</v>
      </c>
      <c r="J2" s="79" t="s">
        <v>28</v>
      </c>
    </row>
    <row r="3" spans="1:27" ht="111" customHeight="1">
      <c r="A3" s="39" t="s">
        <v>97</v>
      </c>
      <c r="B3" s="36" t="s">
        <v>98</v>
      </c>
      <c r="C3" s="37" t="s">
        <v>60</v>
      </c>
      <c r="D3" s="39" t="s">
        <v>99</v>
      </c>
      <c r="E3" s="48"/>
      <c r="F3" s="48" t="s">
        <v>100</v>
      </c>
      <c r="G3" s="49" t="s">
        <v>101</v>
      </c>
      <c r="H3" s="43" t="s">
        <v>102</v>
      </c>
      <c r="I3" s="126" t="s">
        <v>103</v>
      </c>
      <c r="J3" s="50" t="s">
        <v>104</v>
      </c>
      <c r="Z3" s="54" t="str">
        <f>_xlfn.TEXTJOIN(CHAR(10), TRUE, E3:G3)</f>
        <v>Overall Stakeholder CSAT
Digital Ops budget
Costs saved by customers due to Digital Ops technologies (secondary)</v>
      </c>
      <c r="AA3" s="54" t="str">
        <f>_xlfn.TEXTJOIN(CHAR(10), TRUE, H3:J3)</f>
        <v>Overall student autonomy (secondary)
Overall student satisfaction (secondary)
Application Rate
Retention Rate
Completion Rate (Secondary)</v>
      </c>
    </row>
    <row r="4" spans="1:27" ht="113.25" customHeight="1">
      <c r="A4" s="39" t="s">
        <v>105</v>
      </c>
      <c r="B4" s="36" t="s">
        <v>106</v>
      </c>
      <c r="C4" s="37" t="s">
        <v>107</v>
      </c>
      <c r="D4" s="39" t="s">
        <v>108</v>
      </c>
      <c r="E4" s="48" t="s">
        <v>109</v>
      </c>
      <c r="F4" s="48" t="s">
        <v>110</v>
      </c>
      <c r="G4" s="49"/>
      <c r="H4" s="43" t="s">
        <v>111</v>
      </c>
      <c r="I4" s="43" t="s">
        <v>112</v>
      </c>
      <c r="J4" s="43" t="s">
        <v>113</v>
      </c>
      <c r="Z4" s="54" t="str">
        <f t="shared" ref="Z4:Z12" si="0">_xlfn.TEXTJOIN(CHAR(10), TRUE, E4:G4)</f>
        <v>Team meeting project deadlines rate
Companion feature C-Sat</v>
      </c>
      <c r="AA4" s="54" t="str">
        <f t="shared" ref="AA4:AA12" si="1">_xlfn.TEXTJOIN(CHAR(10), TRUE, H4:J4)</f>
        <v>Companion usage rates
Companion C-Sat
AI retention effect</v>
      </c>
    </row>
    <row r="5" spans="1:27" ht="81" customHeight="1">
      <c r="A5" s="39" t="s">
        <v>114</v>
      </c>
      <c r="B5" s="36" t="s">
        <v>115</v>
      </c>
      <c r="C5" s="37" t="s">
        <v>107</v>
      </c>
      <c r="D5" s="39" t="s">
        <v>116</v>
      </c>
      <c r="E5" s="48" t="s">
        <v>117</v>
      </c>
      <c r="F5" s="48" t="s">
        <v>118</v>
      </c>
      <c r="G5" s="49" t="s">
        <v>119</v>
      </c>
      <c r="H5" s="43"/>
      <c r="I5" s="43"/>
      <c r="J5" s="43"/>
      <c r="Z5" s="54" t="str">
        <f t="shared" si="0"/>
        <v>Team meeting project timelines rate
Stakeholder CSAT on team's projects
Cost reductions in service areas (secondary)</v>
      </c>
      <c r="AA5" s="54" t="str">
        <f t="shared" si="1"/>
        <v/>
      </c>
    </row>
    <row r="6" spans="1:27" ht="84" customHeight="1">
      <c r="A6" s="39" t="s">
        <v>120</v>
      </c>
      <c r="B6" s="36" t="s">
        <v>121</v>
      </c>
      <c r="C6" s="37" t="s">
        <v>107</v>
      </c>
      <c r="D6" s="39" t="s">
        <v>122</v>
      </c>
      <c r="E6" s="48" t="s">
        <v>123</v>
      </c>
      <c r="F6" s="48" t="s">
        <v>124</v>
      </c>
      <c r="G6" s="42"/>
      <c r="H6" s="43"/>
      <c r="I6" s="43"/>
      <c r="J6" s="43"/>
      <c r="Z6" s="54" t="str">
        <f t="shared" si="0"/>
        <v>Project delivery on time rate
Stakeholder CSAT - communication, quality of work, impact</v>
      </c>
      <c r="AA6" s="54" t="str">
        <f t="shared" si="1"/>
        <v/>
      </c>
    </row>
    <row r="7" spans="1:27" ht="84" customHeight="1">
      <c r="A7" s="39" t="s">
        <v>125</v>
      </c>
      <c r="B7" s="36" t="s">
        <v>126</v>
      </c>
      <c r="C7" s="37" t="s">
        <v>107</v>
      </c>
      <c r="D7" s="47" t="s">
        <v>127</v>
      </c>
      <c r="E7" s="48" t="s">
        <v>123</v>
      </c>
      <c r="F7" s="48" t="s">
        <v>124</v>
      </c>
      <c r="G7" s="42"/>
      <c r="H7" s="43"/>
      <c r="I7" s="43"/>
      <c r="J7" s="43"/>
      <c r="Z7" s="54" t="str">
        <f t="shared" si="0"/>
        <v>Project delivery on time rate
Stakeholder CSAT - communication, quality of work, impact</v>
      </c>
      <c r="AA7" s="54" t="str">
        <f t="shared" si="1"/>
        <v/>
      </c>
    </row>
    <row r="8" spans="1:27" ht="102" customHeight="1">
      <c r="A8" s="39" t="s">
        <v>128</v>
      </c>
      <c r="B8" s="36" t="s">
        <v>129</v>
      </c>
      <c r="C8" s="37" t="s">
        <v>107</v>
      </c>
      <c r="D8" s="39" t="s">
        <v>130</v>
      </c>
      <c r="E8" s="48" t="s">
        <v>123</v>
      </c>
      <c r="F8" s="48" t="s">
        <v>124</v>
      </c>
      <c r="G8" s="42"/>
      <c r="H8" s="43"/>
      <c r="I8" s="43"/>
      <c r="J8" s="43"/>
      <c r="Z8" s="54" t="str">
        <f t="shared" si="0"/>
        <v>Project delivery on time rate
Stakeholder CSAT - communication, quality of work, impact</v>
      </c>
      <c r="AA8" s="54" t="str">
        <f t="shared" si="1"/>
        <v/>
      </c>
    </row>
    <row r="9" spans="1:27" ht="99" customHeight="1">
      <c r="A9" s="39" t="s">
        <v>131</v>
      </c>
      <c r="B9" s="36" t="s">
        <v>132</v>
      </c>
      <c r="C9" s="37" t="s">
        <v>133</v>
      </c>
      <c r="D9" s="39" t="s">
        <v>134</v>
      </c>
      <c r="E9" s="48" t="s">
        <v>135</v>
      </c>
      <c r="F9" s="48" t="s">
        <v>124</v>
      </c>
      <c r="G9" s="49"/>
      <c r="H9" s="43"/>
      <c r="I9" s="43"/>
      <c r="J9" s="43"/>
      <c r="Z9" s="54" t="str">
        <f t="shared" si="0"/>
        <v>Stakeholder CSAT - timeliness per project
Stakeholder CSAT - communication, quality of work, impact</v>
      </c>
      <c r="AA9" s="54" t="str">
        <f t="shared" si="1"/>
        <v/>
      </c>
    </row>
    <row r="10" spans="1:27" ht="90" customHeight="1">
      <c r="A10" s="39" t="s">
        <v>136</v>
      </c>
      <c r="B10" s="36" t="s">
        <v>137</v>
      </c>
      <c r="C10" s="37" t="s">
        <v>133</v>
      </c>
      <c r="D10" s="39" t="s">
        <v>138</v>
      </c>
      <c r="E10" s="48" t="s">
        <v>135</v>
      </c>
      <c r="F10" s="48" t="s">
        <v>124</v>
      </c>
      <c r="G10" s="49"/>
      <c r="H10" s="43"/>
      <c r="I10" s="43"/>
      <c r="J10" s="43"/>
      <c r="Z10" s="54" t="str">
        <f t="shared" si="0"/>
        <v>Stakeholder CSAT - timeliness per project
Stakeholder CSAT - communication, quality of work, impact</v>
      </c>
      <c r="AA10" s="54" t="str">
        <f t="shared" si="1"/>
        <v/>
      </c>
    </row>
    <row r="11" spans="1:27" ht="99" customHeight="1">
      <c r="A11" s="39" t="s">
        <v>139</v>
      </c>
      <c r="B11" s="36" t="s">
        <v>140</v>
      </c>
      <c r="C11" s="37" t="s">
        <v>133</v>
      </c>
      <c r="D11" s="39" t="s">
        <v>141</v>
      </c>
      <c r="E11" s="48" t="s">
        <v>135</v>
      </c>
      <c r="F11" s="48" t="s">
        <v>124</v>
      </c>
      <c r="G11" s="49"/>
      <c r="H11" s="43"/>
      <c r="I11" s="43"/>
      <c r="J11" s="43"/>
      <c r="Z11" s="54" t="str">
        <f t="shared" si="0"/>
        <v>Stakeholder CSAT - timeliness per project
Stakeholder CSAT - communication, quality of work, impact</v>
      </c>
      <c r="AA11" s="54" t="str">
        <f t="shared" si="1"/>
        <v/>
      </c>
    </row>
    <row r="12" spans="1:27" ht="157.5" customHeight="1">
      <c r="A12" s="39" t="s">
        <v>142</v>
      </c>
      <c r="B12" s="36" t="s">
        <v>143</v>
      </c>
      <c r="C12" s="37" t="s">
        <v>133</v>
      </c>
      <c r="D12" s="39" t="s">
        <v>144</v>
      </c>
      <c r="E12" s="48"/>
      <c r="F12" s="48"/>
      <c r="G12" s="49"/>
      <c r="H12" s="43"/>
      <c r="I12" s="43"/>
      <c r="J12" s="43"/>
      <c r="Z12" s="54" t="str">
        <f t="shared" si="0"/>
        <v/>
      </c>
      <c r="AA12" s="54" t="str">
        <f t="shared" si="1"/>
        <v/>
      </c>
    </row>
    <row r="13" spans="1:27" ht="15.6" hidden="1">
      <c r="A13" s="39"/>
      <c r="B13" s="36"/>
      <c r="C13" s="37"/>
      <c r="D13" s="39"/>
      <c r="E13" s="48"/>
      <c r="F13" s="80"/>
      <c r="G13" s="42"/>
      <c r="H13" s="43"/>
      <c r="I13" s="43"/>
      <c r="J13" s="43"/>
      <c r="Z13" s="54" t="str">
        <f t="shared" ref="Z13:Z42" si="2">_xlfn.TEXTJOIN(" | ", TRUE, E13:G13)</f>
        <v/>
      </c>
      <c r="AA13" s="54" t="str">
        <f t="shared" ref="AA13:AA42" si="3">_xlfn.TEXTJOIN(" | ", TRUE, H13:J13)</f>
        <v/>
      </c>
    </row>
    <row r="14" spans="1:27" ht="15.6" hidden="1">
      <c r="A14" s="39"/>
      <c r="B14" s="36"/>
      <c r="C14" s="37"/>
      <c r="D14" s="39"/>
      <c r="E14" s="48"/>
      <c r="F14" s="80"/>
      <c r="G14" s="42"/>
      <c r="H14" s="43"/>
      <c r="I14" s="43"/>
      <c r="J14" s="43"/>
      <c r="Z14" s="54" t="str">
        <f t="shared" si="2"/>
        <v/>
      </c>
      <c r="AA14" s="54" t="str">
        <f t="shared" si="3"/>
        <v/>
      </c>
    </row>
    <row r="15" spans="1:27" ht="15.6" hidden="1">
      <c r="A15" s="39"/>
      <c r="B15" s="36"/>
      <c r="C15" s="37"/>
      <c r="D15" s="39"/>
      <c r="E15" s="48"/>
      <c r="F15" s="80"/>
      <c r="G15" s="42"/>
      <c r="H15" s="43"/>
      <c r="I15" s="43"/>
      <c r="J15" s="43"/>
      <c r="Z15" s="54" t="str">
        <f t="shared" si="2"/>
        <v/>
      </c>
      <c r="AA15" s="54" t="str">
        <f t="shared" si="3"/>
        <v/>
      </c>
    </row>
    <row r="16" spans="1:27" ht="15.6" hidden="1">
      <c r="A16" s="39"/>
      <c r="B16" s="36"/>
      <c r="C16" s="37"/>
      <c r="D16" s="39"/>
      <c r="E16" s="48"/>
      <c r="F16" s="80"/>
      <c r="G16" s="42"/>
      <c r="H16" s="43"/>
      <c r="I16" s="43"/>
      <c r="J16" s="43"/>
      <c r="Z16" s="54" t="str">
        <f t="shared" si="2"/>
        <v/>
      </c>
      <c r="AA16" s="54" t="str">
        <f t="shared" si="3"/>
        <v/>
      </c>
    </row>
    <row r="17" spans="1:27" ht="15.6" hidden="1">
      <c r="A17" s="39"/>
      <c r="B17" s="36"/>
      <c r="C17" s="37"/>
      <c r="D17" s="39"/>
      <c r="E17" s="48"/>
      <c r="F17" s="80"/>
      <c r="G17" s="42"/>
      <c r="H17" s="43"/>
      <c r="I17" s="43"/>
      <c r="J17" s="43"/>
      <c r="Z17" s="54" t="str">
        <f t="shared" si="2"/>
        <v/>
      </c>
      <c r="AA17" s="54" t="str">
        <f t="shared" si="3"/>
        <v/>
      </c>
    </row>
    <row r="18" spans="1:27" ht="15.6" hidden="1">
      <c r="A18" s="39"/>
      <c r="B18" s="36"/>
      <c r="C18" s="37"/>
      <c r="D18" s="39"/>
      <c r="E18" s="48"/>
      <c r="F18" s="80"/>
      <c r="G18" s="42"/>
      <c r="H18" s="43"/>
      <c r="I18" s="43"/>
      <c r="J18" s="43"/>
      <c r="Z18" s="54" t="str">
        <f t="shared" si="2"/>
        <v/>
      </c>
      <c r="AA18" s="54" t="str">
        <f t="shared" si="3"/>
        <v/>
      </c>
    </row>
    <row r="19" spans="1:27" ht="15.6" hidden="1">
      <c r="A19" s="39"/>
      <c r="B19" s="36"/>
      <c r="C19" s="37"/>
      <c r="D19" s="39"/>
      <c r="E19" s="48"/>
      <c r="F19" s="80"/>
      <c r="G19" s="42"/>
      <c r="H19" s="43"/>
      <c r="I19" s="43"/>
      <c r="J19" s="43"/>
      <c r="Z19" s="54" t="str">
        <f t="shared" si="2"/>
        <v/>
      </c>
      <c r="AA19" s="54" t="str">
        <f t="shared" si="3"/>
        <v/>
      </c>
    </row>
    <row r="20" spans="1:27" ht="15.6" hidden="1">
      <c r="A20" s="39"/>
      <c r="B20" s="36"/>
      <c r="C20" s="37"/>
      <c r="D20" s="39"/>
      <c r="E20" s="48"/>
      <c r="F20" s="80"/>
      <c r="G20" s="42"/>
      <c r="H20" s="43"/>
      <c r="I20" s="43"/>
      <c r="J20" s="43"/>
      <c r="Z20" s="54" t="str">
        <f t="shared" si="2"/>
        <v/>
      </c>
      <c r="AA20" s="54" t="str">
        <f t="shared" si="3"/>
        <v/>
      </c>
    </row>
    <row r="21" spans="1:27" ht="15.6" hidden="1">
      <c r="A21" s="39"/>
      <c r="B21" s="36"/>
      <c r="C21" s="37"/>
      <c r="D21" s="39"/>
      <c r="E21" s="48"/>
      <c r="F21" s="80"/>
      <c r="G21" s="42"/>
      <c r="H21" s="43"/>
      <c r="I21" s="43"/>
      <c r="J21" s="43"/>
      <c r="Z21" s="54" t="str">
        <f t="shared" si="2"/>
        <v/>
      </c>
      <c r="AA21" s="54" t="str">
        <f t="shared" si="3"/>
        <v/>
      </c>
    </row>
    <row r="22" spans="1:27" ht="15.6" hidden="1">
      <c r="A22" s="39"/>
      <c r="B22" s="36"/>
      <c r="C22" s="37"/>
      <c r="D22" s="39"/>
      <c r="E22" s="48"/>
      <c r="F22" s="80"/>
      <c r="G22" s="42"/>
      <c r="H22" s="43"/>
      <c r="I22" s="43"/>
      <c r="J22" s="43"/>
      <c r="Z22" s="54" t="str">
        <f t="shared" si="2"/>
        <v/>
      </c>
      <c r="AA22" s="54" t="str">
        <f t="shared" si="3"/>
        <v/>
      </c>
    </row>
    <row r="23" spans="1:27" ht="15.6" hidden="1">
      <c r="A23" s="39"/>
      <c r="B23" s="36"/>
      <c r="C23" s="37"/>
      <c r="D23" s="39"/>
      <c r="E23" s="48"/>
      <c r="F23" s="80"/>
      <c r="G23" s="42"/>
      <c r="H23" s="43"/>
      <c r="I23" s="43"/>
      <c r="J23" s="43"/>
      <c r="Z23" s="54" t="str">
        <f t="shared" si="2"/>
        <v/>
      </c>
      <c r="AA23" s="54" t="str">
        <f t="shared" si="3"/>
        <v/>
      </c>
    </row>
    <row r="24" spans="1:27" ht="15.6" hidden="1">
      <c r="A24" s="39"/>
      <c r="B24" s="36"/>
      <c r="C24" s="37"/>
      <c r="D24" s="39"/>
      <c r="E24" s="48"/>
      <c r="F24" s="80"/>
      <c r="G24" s="42"/>
      <c r="H24" s="43"/>
      <c r="I24" s="43"/>
      <c r="J24" s="43"/>
      <c r="Z24" s="54" t="str">
        <f t="shared" si="2"/>
        <v/>
      </c>
      <c r="AA24" s="54" t="str">
        <f t="shared" si="3"/>
        <v/>
      </c>
    </row>
    <row r="25" spans="1:27" ht="15.6" hidden="1">
      <c r="A25" s="39"/>
      <c r="B25" s="36"/>
      <c r="C25" s="37"/>
      <c r="D25" s="39"/>
      <c r="E25" s="48"/>
      <c r="F25" s="80"/>
      <c r="G25" s="42"/>
      <c r="H25" s="43"/>
      <c r="I25" s="43"/>
      <c r="J25" s="43"/>
      <c r="Z25" s="54" t="str">
        <f t="shared" si="2"/>
        <v/>
      </c>
      <c r="AA25" s="54" t="str">
        <f t="shared" si="3"/>
        <v/>
      </c>
    </row>
    <row r="26" spans="1:27" ht="15.6" hidden="1">
      <c r="A26" s="39"/>
      <c r="B26" s="36"/>
      <c r="C26" s="37"/>
      <c r="D26" s="39"/>
      <c r="E26" s="48"/>
      <c r="F26" s="80"/>
      <c r="G26" s="42"/>
      <c r="H26" s="43"/>
      <c r="I26" s="43"/>
      <c r="J26" s="43"/>
      <c r="Z26" s="54" t="str">
        <f t="shared" si="2"/>
        <v/>
      </c>
      <c r="AA26" s="54" t="str">
        <f t="shared" si="3"/>
        <v/>
      </c>
    </row>
    <row r="27" spans="1:27" ht="15.6" hidden="1">
      <c r="A27" s="39"/>
      <c r="B27" s="36"/>
      <c r="C27" s="37"/>
      <c r="D27" s="39"/>
      <c r="E27" s="48"/>
      <c r="F27" s="80"/>
      <c r="G27" s="42"/>
      <c r="H27" s="43"/>
      <c r="I27" s="43"/>
      <c r="J27" s="43"/>
      <c r="Z27" s="54" t="str">
        <f t="shared" si="2"/>
        <v/>
      </c>
      <c r="AA27" s="54" t="str">
        <f t="shared" si="3"/>
        <v/>
      </c>
    </row>
    <row r="28" spans="1:27" ht="15.6" hidden="1">
      <c r="A28" s="36"/>
      <c r="B28" s="36"/>
      <c r="C28" s="37"/>
      <c r="D28" s="39"/>
      <c r="E28" s="48"/>
      <c r="F28" s="80"/>
      <c r="G28" s="42"/>
      <c r="H28" s="43"/>
      <c r="I28" s="43"/>
      <c r="J28" s="43"/>
      <c r="Z28" s="54" t="str">
        <f t="shared" si="2"/>
        <v/>
      </c>
      <c r="AA28" s="54" t="str">
        <f t="shared" si="3"/>
        <v/>
      </c>
    </row>
    <row r="29" spans="1:27" ht="15.6" hidden="1">
      <c r="A29" s="36"/>
      <c r="B29" s="36"/>
      <c r="C29" s="37"/>
      <c r="D29" s="39"/>
      <c r="E29" s="48"/>
      <c r="F29" s="80"/>
      <c r="G29" s="42"/>
      <c r="H29" s="43"/>
      <c r="I29" s="43"/>
      <c r="J29" s="43"/>
      <c r="Z29" s="54" t="str">
        <f t="shared" si="2"/>
        <v/>
      </c>
      <c r="AA29" s="54" t="str">
        <f t="shared" si="3"/>
        <v/>
      </c>
    </row>
    <row r="30" spans="1:27" ht="15.6" hidden="1">
      <c r="A30" s="36"/>
      <c r="B30" s="36"/>
      <c r="C30" s="37"/>
      <c r="D30" s="39"/>
      <c r="E30" s="48"/>
      <c r="F30" s="80"/>
      <c r="G30" s="42"/>
      <c r="H30" s="43"/>
      <c r="I30" s="43"/>
      <c r="J30" s="43"/>
      <c r="Z30" s="54" t="str">
        <f t="shared" si="2"/>
        <v/>
      </c>
      <c r="AA30" s="54" t="str">
        <f t="shared" si="3"/>
        <v/>
      </c>
    </row>
    <row r="31" spans="1:27" ht="15.6" hidden="1">
      <c r="A31" s="36"/>
      <c r="B31" s="36"/>
      <c r="C31" s="37"/>
      <c r="D31" s="39"/>
      <c r="E31" s="48"/>
      <c r="F31" s="80"/>
      <c r="G31" s="42"/>
      <c r="H31" s="43"/>
      <c r="I31" s="43"/>
      <c r="J31" s="43"/>
      <c r="Z31" s="54" t="str">
        <f t="shared" si="2"/>
        <v/>
      </c>
      <c r="AA31" s="54" t="str">
        <f t="shared" si="3"/>
        <v/>
      </c>
    </row>
    <row r="32" spans="1:27" ht="15.6" hidden="1">
      <c r="A32" s="36"/>
      <c r="B32" s="36"/>
      <c r="C32" s="37"/>
      <c r="D32" s="39"/>
      <c r="E32" s="48"/>
      <c r="F32" s="80"/>
      <c r="G32" s="42"/>
      <c r="H32" s="43"/>
      <c r="I32" s="43"/>
      <c r="J32" s="43"/>
      <c r="Z32" s="54" t="str">
        <f t="shared" si="2"/>
        <v/>
      </c>
      <c r="AA32" s="54" t="str">
        <f t="shared" si="3"/>
        <v/>
      </c>
    </row>
    <row r="33" spans="1:27" ht="15.6" hidden="1">
      <c r="A33" s="36"/>
      <c r="B33" s="36"/>
      <c r="C33" s="37"/>
      <c r="D33" s="39"/>
      <c r="E33" s="48"/>
      <c r="F33" s="80"/>
      <c r="G33" s="42"/>
      <c r="H33" s="43"/>
      <c r="I33" s="43"/>
      <c r="J33" s="43"/>
      <c r="Z33" s="54" t="str">
        <f t="shared" si="2"/>
        <v/>
      </c>
      <c r="AA33" s="54" t="str">
        <f t="shared" si="3"/>
        <v/>
      </c>
    </row>
    <row r="34" spans="1:27" ht="15.6" hidden="1">
      <c r="A34" s="36"/>
      <c r="B34" s="36"/>
      <c r="C34" s="37"/>
      <c r="D34" s="39"/>
      <c r="E34" s="48"/>
      <c r="F34" s="80"/>
      <c r="G34" s="42"/>
      <c r="H34" s="43"/>
      <c r="I34" s="43"/>
      <c r="J34" s="43"/>
      <c r="Z34" s="54" t="str">
        <f t="shared" si="2"/>
        <v/>
      </c>
      <c r="AA34" s="54" t="str">
        <f t="shared" si="3"/>
        <v/>
      </c>
    </row>
    <row r="35" spans="1:27" ht="14.45" hidden="1">
      <c r="Z35" s="54" t="str">
        <f t="shared" si="2"/>
        <v/>
      </c>
      <c r="AA35" s="54" t="str">
        <f t="shared" si="3"/>
        <v/>
      </c>
    </row>
    <row r="36" spans="1:27" ht="14.45" hidden="1">
      <c r="Z36" s="54" t="str">
        <f t="shared" si="2"/>
        <v/>
      </c>
      <c r="AA36" s="54" t="str">
        <f t="shared" si="3"/>
        <v/>
      </c>
    </row>
    <row r="37" spans="1:27" ht="14.45" hidden="1">
      <c r="Z37" s="54" t="str">
        <f t="shared" si="2"/>
        <v/>
      </c>
      <c r="AA37" s="54" t="str">
        <f t="shared" si="3"/>
        <v/>
      </c>
    </row>
    <row r="38" spans="1:27" ht="14.45" hidden="1">
      <c r="Z38" s="54" t="str">
        <f t="shared" si="2"/>
        <v/>
      </c>
      <c r="AA38" s="54" t="str">
        <f t="shared" si="3"/>
        <v/>
      </c>
    </row>
    <row r="39" spans="1:27" ht="14.45" hidden="1">
      <c r="Z39" s="54" t="str">
        <f t="shared" si="2"/>
        <v/>
      </c>
      <c r="AA39" s="54" t="str">
        <f t="shared" si="3"/>
        <v/>
      </c>
    </row>
    <row r="40" spans="1:27" ht="14.45" hidden="1">
      <c r="Z40" s="54" t="str">
        <f t="shared" si="2"/>
        <v/>
      </c>
      <c r="AA40" s="54" t="str">
        <f t="shared" si="3"/>
        <v/>
      </c>
    </row>
    <row r="41" spans="1:27" ht="14.45" hidden="1">
      <c r="Z41" s="54" t="str">
        <f t="shared" si="2"/>
        <v/>
      </c>
      <c r="AA41" s="54" t="str">
        <f t="shared" si="3"/>
        <v/>
      </c>
    </row>
    <row r="42" spans="1:27" ht="14.45" hidden="1">
      <c r="Z42" s="54" t="str">
        <f t="shared" si="2"/>
        <v/>
      </c>
      <c r="AA42" s="54" t="str">
        <f t="shared" si="3"/>
        <v/>
      </c>
    </row>
  </sheetData>
  <mergeCells count="3">
    <mergeCell ref="A1:C1"/>
    <mergeCell ref="E1:G1"/>
    <mergeCell ref="H1:J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A481-6685-44F0-A804-13F23A8E06D7}">
  <sheetPr>
    <tabColor rgb="FFCC9A02"/>
  </sheetPr>
  <dimension ref="A1:AA46"/>
  <sheetViews>
    <sheetView zoomScale="90" zoomScaleNormal="90" workbookViewId="0">
      <pane xSplit="1" ySplit="2" topLeftCell="B9" activePane="bottomRight" state="frozen"/>
      <selection pane="bottomRight" activeCell="E9" sqref="E9:F9"/>
      <selection pane="bottomLeft"/>
      <selection pane="topRight"/>
    </sheetView>
  </sheetViews>
  <sheetFormatPr defaultColWidth="8.85546875" defaultRowHeight="15" customHeight="1" zeroHeight="1"/>
  <cols>
    <col min="1" max="1" width="19" style="2" customWidth="1"/>
    <col min="2" max="2" width="28.140625" style="2" customWidth="1"/>
    <col min="3" max="3" width="19" style="2" customWidth="1"/>
    <col min="4" max="4" width="40.85546875" style="2" customWidth="1"/>
    <col min="5" max="7" width="27.28515625" style="2" customWidth="1"/>
    <col min="8" max="10" width="25.7109375" style="2" customWidth="1"/>
    <col min="11" max="24" width="8.85546875" style="2"/>
    <col min="25" max="25" width="40.28515625" style="2" customWidth="1"/>
    <col min="26" max="26" width="35.140625" style="2" customWidth="1"/>
    <col min="27" max="27" width="42" style="2" customWidth="1"/>
    <col min="28" max="16384" width="8.85546875" style="2"/>
  </cols>
  <sheetData>
    <row r="1" spans="1:27" ht="15.6" customHeight="1">
      <c r="A1" s="152" t="s">
        <v>94</v>
      </c>
      <c r="B1" s="152"/>
      <c r="C1" s="152"/>
      <c r="D1" s="118"/>
      <c r="E1" s="155" t="s">
        <v>21</v>
      </c>
      <c r="F1" s="157"/>
      <c r="G1" s="158"/>
      <c r="H1" s="156" t="s">
        <v>22</v>
      </c>
      <c r="I1" s="156"/>
      <c r="J1" s="156"/>
    </row>
    <row r="2" spans="1:27" ht="15.6">
      <c r="A2" s="34" t="s">
        <v>95</v>
      </c>
      <c r="B2" s="34" t="s">
        <v>96</v>
      </c>
      <c r="C2" s="35" t="s">
        <v>56</v>
      </c>
      <c r="D2" s="35" t="s">
        <v>57</v>
      </c>
      <c r="E2" s="77" t="s">
        <v>23</v>
      </c>
      <c r="F2" s="77" t="s">
        <v>24</v>
      </c>
      <c r="G2" s="78" t="s">
        <v>25</v>
      </c>
      <c r="H2" s="79" t="s">
        <v>26</v>
      </c>
      <c r="I2" s="79" t="s">
        <v>27</v>
      </c>
      <c r="J2" s="79" t="s">
        <v>28</v>
      </c>
    </row>
    <row r="3" spans="1:27" ht="46.9">
      <c r="A3" s="36" t="s">
        <v>145</v>
      </c>
      <c r="B3" s="36" t="s">
        <v>146</v>
      </c>
      <c r="C3" s="36" t="s">
        <v>60</v>
      </c>
      <c r="D3" s="39" t="s">
        <v>147</v>
      </c>
      <c r="E3" s="48"/>
      <c r="F3" s="48"/>
      <c r="G3" s="129" t="s">
        <v>148</v>
      </c>
      <c r="H3" s="50" t="s">
        <v>102</v>
      </c>
      <c r="I3" s="50" t="s">
        <v>103</v>
      </c>
      <c r="J3" s="50" t="s">
        <v>149</v>
      </c>
      <c r="Z3" s="54" t="str">
        <f>_xlfn.TEXTJOIN(CHAR(10), TRUE, E3:G3)</f>
        <v>Enrollment &amp; Retention budget</v>
      </c>
      <c r="AA3" s="54" t="str">
        <f>_xlfn.TEXTJOIN(CHAR(10), TRUE, H3:J3)</f>
        <v>Overall student autonomy (secondary)
Overall student satisfaction (secondary)
Enrollment, retention, completion (primary)</v>
      </c>
    </row>
    <row r="4" spans="1:27" ht="49.5" customHeight="1">
      <c r="A4" s="36" t="s">
        <v>150</v>
      </c>
      <c r="B4" s="36" t="s">
        <v>151</v>
      </c>
      <c r="C4" s="36" t="s">
        <v>60</v>
      </c>
      <c r="D4" s="39" t="s">
        <v>152</v>
      </c>
      <c r="E4" s="48"/>
      <c r="F4" s="48"/>
      <c r="G4" s="129"/>
      <c r="H4" s="50"/>
      <c r="I4" s="50"/>
      <c r="J4" s="50" t="s">
        <v>153</v>
      </c>
      <c r="Z4" s="54"/>
      <c r="AA4" s="54"/>
    </row>
    <row r="5" spans="1:27" ht="48.75" customHeight="1">
      <c r="A5" s="36" t="s">
        <v>154</v>
      </c>
      <c r="B5" s="36" t="s">
        <v>155</v>
      </c>
      <c r="C5" s="36" t="s">
        <v>60</v>
      </c>
      <c r="D5" s="39" t="s">
        <v>156</v>
      </c>
      <c r="E5" s="48" t="s">
        <v>157</v>
      </c>
      <c r="F5" s="48" t="s">
        <v>158</v>
      </c>
      <c r="G5" s="49"/>
      <c r="H5" s="50"/>
      <c r="I5" s="50" t="s">
        <v>159</v>
      </c>
      <c r="J5" s="55" t="s">
        <v>160</v>
      </c>
      <c r="Z5" s="54" t="str">
        <f t="shared" ref="Z5:Z14" si="0">_xlfn.TEXTJOIN(CHAR(10), TRUE, E5:G5)</f>
        <v xml:space="preserve">Mentor required action completion rate
Mentor interaction QA </v>
      </c>
      <c r="AA5" s="54" t="str">
        <f t="shared" ref="AA5:AA14" si="1">_xlfn.TEXTJOIN(CHAR(10), TRUE, H5:J5)</f>
        <v>Mentor CSAT
Retention rate contribution by mentors</v>
      </c>
    </row>
    <row r="6" spans="1:27" ht="46.5" customHeight="1">
      <c r="A6" s="36" t="s">
        <v>161</v>
      </c>
      <c r="B6" s="36" t="s">
        <v>162</v>
      </c>
      <c r="C6" s="36" t="s">
        <v>163</v>
      </c>
      <c r="D6" s="39" t="s">
        <v>164</v>
      </c>
      <c r="E6" s="48"/>
      <c r="F6" s="48" t="s">
        <v>165</v>
      </c>
      <c r="G6" s="49"/>
      <c r="H6" s="50"/>
      <c r="I6" s="50" t="s">
        <v>159</v>
      </c>
      <c r="J6" s="50"/>
      <c r="Z6" s="54" t="str">
        <f t="shared" si="0"/>
        <v xml:space="preserve">Mentor interaction QA 
</v>
      </c>
      <c r="AA6" s="54" t="str">
        <f t="shared" si="1"/>
        <v>Mentor CSAT</v>
      </c>
    </row>
    <row r="7" spans="1:27" ht="54.75" customHeight="1">
      <c r="A7" s="36" t="s">
        <v>166</v>
      </c>
      <c r="B7" s="36" t="s">
        <v>167</v>
      </c>
      <c r="C7" s="36" t="s">
        <v>163</v>
      </c>
      <c r="D7" s="39" t="s">
        <v>168</v>
      </c>
      <c r="E7" s="48" t="s">
        <v>157</v>
      </c>
      <c r="F7" s="48" t="s">
        <v>169</v>
      </c>
      <c r="G7" s="49"/>
      <c r="H7" s="50"/>
      <c r="I7" s="50"/>
      <c r="J7" s="50"/>
      <c r="Z7" s="54" t="str">
        <f t="shared" si="0"/>
        <v>Mentor required action completion rate
Mentor concern case QA</v>
      </c>
      <c r="AA7" s="54" t="str">
        <f t="shared" si="1"/>
        <v/>
      </c>
    </row>
    <row r="8" spans="1:27" ht="79.5" customHeight="1">
      <c r="A8" s="36" t="s">
        <v>170</v>
      </c>
      <c r="B8" s="36" t="s">
        <v>171</v>
      </c>
      <c r="C8" s="36" t="s">
        <v>60</v>
      </c>
      <c r="D8" s="39" t="s">
        <v>172</v>
      </c>
      <c r="E8" s="48"/>
      <c r="F8" s="48"/>
      <c r="G8" s="49"/>
      <c r="H8" s="50" t="s">
        <v>173</v>
      </c>
      <c r="I8" s="50"/>
      <c r="J8" s="50" t="s">
        <v>174</v>
      </c>
      <c r="Z8" s="54" t="str">
        <f t="shared" si="0"/>
        <v/>
      </c>
      <c r="AA8" s="54" t="str">
        <f t="shared" si="1"/>
        <v xml:space="preserve">Reduction of enrollment related support cases
Reduction of admissions tier 2 support cases
Application start to admission yield
Admission to registration yield
Registration to auto-drop yield
</v>
      </c>
    </row>
    <row r="9" spans="1:27" ht="101.25">
      <c r="A9" s="36" t="s">
        <v>175</v>
      </c>
      <c r="B9" s="36" t="s">
        <v>176</v>
      </c>
      <c r="C9" s="36" t="s">
        <v>60</v>
      </c>
      <c r="D9" s="39" t="s">
        <v>177</v>
      </c>
      <c r="E9" s="48" t="s">
        <v>178</v>
      </c>
      <c r="F9" s="56" t="s">
        <v>179</v>
      </c>
      <c r="G9" s="49"/>
      <c r="H9" s="50"/>
      <c r="I9" s="50"/>
      <c r="J9" s="50"/>
      <c r="Z9" s="54" t="str">
        <f t="shared" si="0"/>
        <v>Enrollment Counseling required action completion rate
Enrollment Counseling contact rate by alert
Enrollment Counseling CSAT rate
Enrollment Counseling yield contribution</v>
      </c>
      <c r="AA9" s="54" t="str">
        <f t="shared" si="1"/>
        <v/>
      </c>
    </row>
    <row r="10" spans="1:27" ht="65.25" customHeight="1">
      <c r="A10" s="36" t="s">
        <v>180</v>
      </c>
      <c r="B10" s="36" t="s">
        <v>181</v>
      </c>
      <c r="C10" s="36" t="s">
        <v>163</v>
      </c>
      <c r="D10" s="39" t="s">
        <v>182</v>
      </c>
      <c r="E10" s="48"/>
      <c r="F10" s="56" t="s">
        <v>179</v>
      </c>
      <c r="G10" s="49"/>
      <c r="H10" s="50"/>
      <c r="I10" s="50"/>
      <c r="J10" s="50"/>
      <c r="Z10" s="54" t="str">
        <f t="shared" si="0"/>
        <v>Enrollment Counseling CSAT rate
Enrollment Counseling yield contribution</v>
      </c>
      <c r="AA10" s="54" t="str">
        <f t="shared" si="1"/>
        <v/>
      </c>
    </row>
    <row r="11" spans="1:27" ht="86.25" customHeight="1">
      <c r="A11" s="36" t="s">
        <v>183</v>
      </c>
      <c r="B11" s="36" t="s">
        <v>184</v>
      </c>
      <c r="C11" s="36" t="s">
        <v>163</v>
      </c>
      <c r="D11" s="39" t="s">
        <v>185</v>
      </c>
      <c r="E11" s="48" t="s">
        <v>178</v>
      </c>
      <c r="F11" s="56"/>
      <c r="G11" s="49"/>
      <c r="H11" s="50"/>
      <c r="I11" s="50"/>
      <c r="J11" s="50"/>
      <c r="Z11" s="54" t="str">
        <f t="shared" si="0"/>
        <v>Enrollment Counseling required action completion rate
Enrollment Counseling contact rate by alert</v>
      </c>
      <c r="AA11" s="54" t="str">
        <f t="shared" si="1"/>
        <v/>
      </c>
    </row>
    <row r="12" spans="1:27" ht="72.75">
      <c r="A12" s="36" t="s">
        <v>186</v>
      </c>
      <c r="B12" s="36" t="s">
        <v>187</v>
      </c>
      <c r="C12" s="36" t="s">
        <v>60</v>
      </c>
      <c r="D12" s="39" t="s">
        <v>188</v>
      </c>
      <c r="E12" s="48" t="s">
        <v>189</v>
      </c>
      <c r="F12" s="48" t="s">
        <v>190</v>
      </c>
      <c r="G12" s="49"/>
      <c r="H12" s="57"/>
      <c r="I12" s="50"/>
      <c r="J12" s="50"/>
      <c r="Z12" s="54" t="str">
        <f t="shared" si="0"/>
        <v xml:space="preserve">Transfer evaluation processing rate 
Transfer evaluation case resolution rate
Number of transfer evaluation cases
</v>
      </c>
      <c r="AA12" s="54" t="str">
        <f t="shared" si="1"/>
        <v/>
      </c>
    </row>
    <row r="13" spans="1:27" ht="72">
      <c r="A13" s="36" t="s">
        <v>191</v>
      </c>
      <c r="B13" s="36" t="s">
        <v>192</v>
      </c>
      <c r="C13" s="36" t="s">
        <v>60</v>
      </c>
      <c r="D13" s="39" t="s">
        <v>193</v>
      </c>
      <c r="E13" s="48" t="s">
        <v>194</v>
      </c>
      <c r="F13" s="48" t="s">
        <v>195</v>
      </c>
      <c r="G13" s="49"/>
      <c r="H13" s="50"/>
      <c r="I13" s="50"/>
      <c r="J13" s="50"/>
      <c r="Z13" s="54" t="str">
        <f t="shared" si="0"/>
        <v xml:space="preserve">Application processing rate
Application manual review turnaround rate
Number of admissions support cases
Admissions case resolution rate </v>
      </c>
      <c r="AA13" s="54" t="str">
        <f t="shared" si="1"/>
        <v/>
      </c>
    </row>
    <row r="14" spans="1:27" ht="57.6">
      <c r="A14" s="36"/>
      <c r="B14" s="36" t="s">
        <v>196</v>
      </c>
      <c r="C14" s="36" t="s">
        <v>60</v>
      </c>
      <c r="D14" s="41" t="s">
        <v>197</v>
      </c>
      <c r="E14" s="48" t="s">
        <v>198</v>
      </c>
      <c r="F14" s="51" t="s">
        <v>199</v>
      </c>
      <c r="G14" s="49"/>
      <c r="H14" s="50"/>
      <c r="I14" s="50"/>
      <c r="J14" s="50"/>
      <c r="Z14" s="54" t="str">
        <f t="shared" si="0"/>
        <v>Non-member endorsement completion rate
Number of support cases with non-member endorsement concerns</v>
      </c>
      <c r="AA14" s="54" t="str">
        <f t="shared" si="1"/>
        <v/>
      </c>
    </row>
    <row r="15" spans="1:27" ht="15.6" hidden="1">
      <c r="A15" s="36"/>
      <c r="B15" s="36"/>
      <c r="C15" s="36"/>
      <c r="D15" s="37"/>
      <c r="E15" s="80"/>
      <c r="F15" s="80"/>
      <c r="G15" s="42"/>
      <c r="H15" s="43"/>
      <c r="I15" s="43"/>
      <c r="J15" s="43"/>
      <c r="Z15" s="54" t="str">
        <f t="shared" ref="Z15:Z32" si="2">_xlfn.TEXTJOIN(" | ", TRUE, E15:G15)</f>
        <v/>
      </c>
      <c r="AA15" s="54" t="str">
        <f t="shared" ref="AA15:AA32" si="3">_xlfn.TEXTJOIN(" | ", TRUE, H15:J15)</f>
        <v/>
      </c>
    </row>
    <row r="16" spans="1:27" ht="15.6" hidden="1">
      <c r="A16" s="36"/>
      <c r="B16" s="36"/>
      <c r="C16" s="36"/>
      <c r="D16" s="37"/>
      <c r="E16" s="80"/>
      <c r="F16" s="80"/>
      <c r="G16" s="42"/>
      <c r="H16" s="43"/>
      <c r="I16" s="43"/>
      <c r="J16" s="43"/>
      <c r="Z16" s="54" t="str">
        <f t="shared" si="2"/>
        <v/>
      </c>
      <c r="AA16" s="54" t="str">
        <f t="shared" si="3"/>
        <v/>
      </c>
    </row>
    <row r="17" spans="1:27" ht="15.6" hidden="1">
      <c r="A17" s="36"/>
      <c r="B17" s="36"/>
      <c r="C17" s="36"/>
      <c r="D17" s="37"/>
      <c r="E17" s="80"/>
      <c r="F17" s="80"/>
      <c r="G17" s="42"/>
      <c r="H17" s="43"/>
      <c r="I17" s="43"/>
      <c r="J17" s="43"/>
      <c r="Z17" s="54" t="str">
        <f t="shared" si="2"/>
        <v/>
      </c>
      <c r="AA17" s="54" t="str">
        <f t="shared" si="3"/>
        <v/>
      </c>
    </row>
    <row r="18" spans="1:27" ht="15.6" hidden="1">
      <c r="A18" s="36"/>
      <c r="B18" s="36"/>
      <c r="C18" s="36"/>
      <c r="D18" s="37"/>
      <c r="E18" s="80"/>
      <c r="F18" s="80"/>
      <c r="G18" s="42"/>
      <c r="H18" s="43"/>
      <c r="I18" s="43"/>
      <c r="J18" s="43"/>
      <c r="Z18" s="54" t="str">
        <f t="shared" si="2"/>
        <v/>
      </c>
      <c r="AA18" s="54" t="str">
        <f t="shared" si="3"/>
        <v/>
      </c>
    </row>
    <row r="19" spans="1:27" ht="15.6" hidden="1">
      <c r="A19" s="36"/>
      <c r="B19" s="36"/>
      <c r="C19" s="36"/>
      <c r="D19" s="37"/>
      <c r="E19" s="80"/>
      <c r="F19" s="80"/>
      <c r="G19" s="42"/>
      <c r="H19" s="43"/>
      <c r="I19" s="43"/>
      <c r="J19" s="43"/>
      <c r="Z19" s="54" t="str">
        <f t="shared" si="2"/>
        <v/>
      </c>
      <c r="AA19" s="54" t="str">
        <f t="shared" si="3"/>
        <v/>
      </c>
    </row>
    <row r="20" spans="1:27" ht="15.6" hidden="1">
      <c r="A20" s="36"/>
      <c r="B20" s="36"/>
      <c r="C20" s="36"/>
      <c r="D20" s="37"/>
      <c r="E20" s="80"/>
      <c r="F20" s="80"/>
      <c r="G20" s="42"/>
      <c r="H20" s="43"/>
      <c r="I20" s="43"/>
      <c r="J20" s="43"/>
      <c r="Z20" s="54" t="str">
        <f t="shared" si="2"/>
        <v/>
      </c>
      <c r="AA20" s="54" t="str">
        <f t="shared" si="3"/>
        <v/>
      </c>
    </row>
    <row r="21" spans="1:27" ht="15.6" hidden="1">
      <c r="A21" s="36"/>
      <c r="B21" s="36"/>
      <c r="C21" s="36"/>
      <c r="D21" s="37"/>
      <c r="E21" s="80"/>
      <c r="F21" s="80"/>
      <c r="G21" s="42"/>
      <c r="H21" s="43"/>
      <c r="I21" s="43"/>
      <c r="J21" s="43"/>
      <c r="Z21" s="54" t="str">
        <f t="shared" si="2"/>
        <v/>
      </c>
      <c r="AA21" s="54" t="str">
        <f t="shared" si="3"/>
        <v/>
      </c>
    </row>
    <row r="22" spans="1:27" ht="15.6" hidden="1">
      <c r="A22" s="36"/>
      <c r="B22" s="36"/>
      <c r="C22" s="36"/>
      <c r="D22" s="37"/>
      <c r="E22" s="80"/>
      <c r="F22" s="80"/>
      <c r="G22" s="42"/>
      <c r="H22" s="43"/>
      <c r="I22" s="43"/>
      <c r="J22" s="43"/>
      <c r="Z22" s="54" t="str">
        <f t="shared" si="2"/>
        <v/>
      </c>
      <c r="AA22" s="54" t="str">
        <f t="shared" si="3"/>
        <v/>
      </c>
    </row>
    <row r="23" spans="1:27" ht="15.6" hidden="1">
      <c r="A23" s="36"/>
      <c r="B23" s="36"/>
      <c r="C23" s="36"/>
      <c r="D23" s="37"/>
      <c r="E23" s="80"/>
      <c r="F23" s="80"/>
      <c r="G23" s="42"/>
      <c r="H23" s="43"/>
      <c r="I23" s="43"/>
      <c r="J23" s="43"/>
      <c r="Z23" s="54" t="str">
        <f t="shared" si="2"/>
        <v/>
      </c>
      <c r="AA23" s="54" t="str">
        <f t="shared" si="3"/>
        <v/>
      </c>
    </row>
    <row r="24" spans="1:27" ht="15.6" hidden="1">
      <c r="A24" s="36"/>
      <c r="B24" s="36"/>
      <c r="C24" s="36"/>
      <c r="D24" s="37"/>
      <c r="E24" s="80"/>
      <c r="F24" s="80"/>
      <c r="G24" s="42"/>
      <c r="H24" s="43"/>
      <c r="I24" s="43"/>
      <c r="J24" s="43"/>
      <c r="Z24" s="54" t="str">
        <f t="shared" si="2"/>
        <v/>
      </c>
      <c r="AA24" s="54" t="str">
        <f t="shared" si="3"/>
        <v/>
      </c>
    </row>
    <row r="25" spans="1:27" ht="15.6" hidden="1">
      <c r="A25" s="36"/>
      <c r="B25" s="36"/>
      <c r="C25" s="36"/>
      <c r="D25" s="37"/>
      <c r="E25" s="80"/>
      <c r="F25" s="80"/>
      <c r="G25" s="42"/>
      <c r="H25" s="43"/>
      <c r="I25" s="43"/>
      <c r="J25" s="43"/>
      <c r="Z25" s="54" t="str">
        <f t="shared" si="2"/>
        <v/>
      </c>
      <c r="AA25" s="54" t="str">
        <f t="shared" si="3"/>
        <v/>
      </c>
    </row>
    <row r="26" spans="1:27" ht="15.6" hidden="1">
      <c r="A26" s="36"/>
      <c r="B26" s="36"/>
      <c r="C26" s="36"/>
      <c r="D26" s="37"/>
      <c r="E26" s="80"/>
      <c r="F26" s="80"/>
      <c r="G26" s="42"/>
      <c r="H26" s="43"/>
      <c r="I26" s="43"/>
      <c r="J26" s="43"/>
      <c r="Z26" s="54" t="str">
        <f t="shared" si="2"/>
        <v/>
      </c>
      <c r="AA26" s="54" t="str">
        <f t="shared" si="3"/>
        <v/>
      </c>
    </row>
    <row r="27" spans="1:27" ht="15.6" hidden="1">
      <c r="A27" s="36"/>
      <c r="B27" s="36"/>
      <c r="C27" s="36"/>
      <c r="D27" s="37"/>
      <c r="E27" s="80"/>
      <c r="F27" s="80"/>
      <c r="G27" s="42"/>
      <c r="H27" s="43"/>
      <c r="I27" s="43"/>
      <c r="J27" s="43"/>
      <c r="Z27" s="54" t="str">
        <f t="shared" si="2"/>
        <v/>
      </c>
      <c r="AA27" s="54" t="str">
        <f t="shared" si="3"/>
        <v/>
      </c>
    </row>
    <row r="28" spans="1:27" ht="15.6" hidden="1">
      <c r="A28" s="36"/>
      <c r="B28" s="36"/>
      <c r="C28" s="36"/>
      <c r="D28" s="37"/>
      <c r="E28" s="80"/>
      <c r="F28" s="80"/>
      <c r="G28" s="42"/>
      <c r="H28" s="43"/>
      <c r="I28" s="43"/>
      <c r="J28" s="43"/>
      <c r="Z28" s="54" t="str">
        <f t="shared" si="2"/>
        <v/>
      </c>
      <c r="AA28" s="54" t="str">
        <f t="shared" si="3"/>
        <v/>
      </c>
    </row>
    <row r="29" spans="1:27" ht="15.6" hidden="1">
      <c r="A29" s="36"/>
      <c r="B29" s="36"/>
      <c r="C29" s="36"/>
      <c r="D29" s="37"/>
      <c r="E29" s="80"/>
      <c r="F29" s="80"/>
      <c r="G29" s="42"/>
      <c r="H29" s="43"/>
      <c r="I29" s="43"/>
      <c r="J29" s="43"/>
      <c r="Z29" s="54" t="str">
        <f t="shared" si="2"/>
        <v/>
      </c>
      <c r="AA29" s="54" t="str">
        <f t="shared" si="3"/>
        <v/>
      </c>
    </row>
    <row r="30" spans="1:27" ht="14.45" hidden="1">
      <c r="Z30" s="54" t="str">
        <f t="shared" si="2"/>
        <v/>
      </c>
      <c r="AA30" s="54" t="str">
        <f t="shared" si="3"/>
        <v/>
      </c>
    </row>
    <row r="31" spans="1:27" ht="14.45" hidden="1">
      <c r="Z31" s="54" t="str">
        <f t="shared" si="2"/>
        <v/>
      </c>
      <c r="AA31" s="54" t="str">
        <f t="shared" si="3"/>
        <v/>
      </c>
    </row>
    <row r="32" spans="1:27" ht="14.45" hidden="1">
      <c r="Z32" s="54" t="str">
        <f t="shared" si="2"/>
        <v/>
      </c>
      <c r="AA32" s="54" t="str">
        <f t="shared" si="3"/>
        <v/>
      </c>
    </row>
    <row r="33" spans="26:27" ht="14.45">
      <c r="Z33" s="54"/>
      <c r="AA33" s="54"/>
    </row>
    <row r="34" spans="26:27" ht="14.45">
      <c r="Z34" s="54"/>
      <c r="AA34" s="54"/>
    </row>
    <row r="35" spans="26:27" ht="14.45" hidden="1">
      <c r="Z35" s="54"/>
      <c r="AA35" s="54"/>
    </row>
    <row r="36" spans="26:27" ht="14.45" hidden="1">
      <c r="Z36" s="54"/>
      <c r="AA36" s="54"/>
    </row>
    <row r="37" spans="26:27" ht="14.45" hidden="1">
      <c r="Z37" s="54"/>
      <c r="AA37" s="54"/>
    </row>
    <row r="38" spans="26:27" ht="14.45" hidden="1">
      <c r="Z38" s="54"/>
      <c r="AA38" s="54"/>
    </row>
    <row r="39" spans="26:27" ht="14.45" hidden="1">
      <c r="Z39" s="54"/>
      <c r="AA39" s="54"/>
    </row>
    <row r="40" spans="26:27" ht="14.45" hidden="1">
      <c r="Z40" s="54"/>
      <c r="AA40" s="54"/>
    </row>
    <row r="41" spans="26:27" ht="14.45" hidden="1">
      <c r="Z41" s="54"/>
      <c r="AA41" s="54"/>
    </row>
    <row r="42" spans="26:27" ht="14.45" hidden="1">
      <c r="Z42" s="54"/>
      <c r="AA42" s="54"/>
    </row>
    <row r="43" spans="26:27" ht="14.45" hidden="1">
      <c r="Z43" s="54"/>
      <c r="AA43" s="54"/>
    </row>
    <row r="44" spans="26:27" ht="14.45" hidden="1">
      <c r="Z44" s="54"/>
      <c r="AA44" s="54"/>
    </row>
    <row r="45" spans="26:27" ht="14.45" hidden="1">
      <c r="Z45" s="54"/>
      <c r="AA45" s="54"/>
    </row>
    <row r="46" spans="26:27" ht="14.45" hidden="1">
      <c r="Z46" s="54"/>
      <c r="AA46" s="54"/>
    </row>
  </sheetData>
  <mergeCells count="3">
    <mergeCell ref="A1:C1"/>
    <mergeCell ref="H1:J1"/>
    <mergeCell ref="E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02A5E-ECD9-4D76-BCE6-C615215DA341}">
  <sheetPr>
    <tabColor theme="5" tint="-0.249977111117893"/>
  </sheetPr>
  <dimension ref="A1:AA30"/>
  <sheetViews>
    <sheetView zoomScale="140" zoomScaleNormal="140" workbookViewId="0">
      <pane xSplit="1" ySplit="2" topLeftCell="E5" activePane="bottomRight" state="frozen"/>
      <selection pane="bottomRight" activeCell="I10" sqref="I10"/>
      <selection pane="bottomLeft"/>
      <selection pane="topRight"/>
    </sheetView>
  </sheetViews>
  <sheetFormatPr defaultColWidth="8.85546875" defaultRowHeight="20.25" customHeight="1" zeroHeight="1"/>
  <cols>
    <col min="1" max="1" width="19" style="63" customWidth="1"/>
    <col min="2" max="2" width="27.140625" style="63" customWidth="1"/>
    <col min="3" max="3" width="19" style="63" customWidth="1"/>
    <col min="4" max="4" width="40.42578125" style="63" customWidth="1"/>
    <col min="5" max="5" width="38.140625" style="63" customWidth="1"/>
    <col min="6" max="6" width="45" style="63" customWidth="1"/>
    <col min="7" max="7" width="34.140625" style="63" customWidth="1"/>
    <col min="8" max="8" width="29.85546875" style="63" customWidth="1"/>
    <col min="9" max="9" width="29.7109375" style="63" customWidth="1"/>
    <col min="10" max="10" width="21.85546875" style="63" customWidth="1"/>
    <col min="11" max="25" width="9.140625" style="63"/>
    <col min="26" max="26" width="50.85546875" style="63" customWidth="1"/>
    <col min="27" max="27" width="28.28515625" style="63" customWidth="1"/>
    <col min="28" max="16384" width="8.85546875" style="63"/>
  </cols>
  <sheetData>
    <row r="1" spans="1:27" ht="20.25" customHeight="1">
      <c r="A1" s="159" t="s">
        <v>94</v>
      </c>
      <c r="B1" s="159"/>
      <c r="C1" s="159"/>
      <c r="D1" s="62"/>
      <c r="E1" s="160" t="s">
        <v>21</v>
      </c>
      <c r="F1" s="160"/>
      <c r="G1" s="161"/>
      <c r="H1" s="162" t="s">
        <v>22</v>
      </c>
      <c r="I1" s="162"/>
      <c r="J1" s="162"/>
    </row>
    <row r="2" spans="1:27" ht="20.25" customHeight="1">
      <c r="A2" s="64" t="s">
        <v>95</v>
      </c>
      <c r="B2" s="64" t="s">
        <v>200</v>
      </c>
      <c r="C2" s="65" t="s">
        <v>56</v>
      </c>
      <c r="D2" s="65" t="s">
        <v>57</v>
      </c>
      <c r="E2" s="66" t="s">
        <v>23</v>
      </c>
      <c r="F2" s="66" t="s">
        <v>24</v>
      </c>
      <c r="G2" s="67" t="s">
        <v>25</v>
      </c>
      <c r="H2" s="68" t="s">
        <v>26</v>
      </c>
      <c r="I2" s="68" t="s">
        <v>27</v>
      </c>
      <c r="J2" s="68" t="s">
        <v>28</v>
      </c>
    </row>
    <row r="3" spans="1:27" ht="129.6">
      <c r="A3" s="69" t="s">
        <v>201</v>
      </c>
      <c r="B3" s="69" t="s">
        <v>202</v>
      </c>
      <c r="C3" s="69" t="s">
        <v>60</v>
      </c>
      <c r="D3" s="70" t="s">
        <v>203</v>
      </c>
      <c r="E3" s="59" t="s">
        <v>204</v>
      </c>
      <c r="F3" s="59" t="s">
        <v>205</v>
      </c>
      <c r="G3" s="59" t="s">
        <v>206</v>
      </c>
      <c r="H3" s="60" t="s">
        <v>207</v>
      </c>
      <c r="I3" s="60" t="s">
        <v>103</v>
      </c>
      <c r="J3" s="60"/>
      <c r="Z3" s="71" t="str">
        <f>_xlfn.TEXTJOIN(CHAR(10), TRUE, E3:G3)</f>
        <v>Teams meeting or exceeding response service-level agreements
Teams meeting or exceeding resolution service-level agreements
Teams meeting QA service-level agreements
Teams meeting CSAT service-level agreements
Teams meeting first contact resolution service-level agreements
Student records, registration, and support department budget</v>
      </c>
      <c r="AA3" s="71" t="str">
        <f>_xlfn.TEXTJOIN(CHAR(10), TRUE, H3:J3)</f>
        <v>Overall student autonomy (primary)
Overall student satisfaction (secondary)</v>
      </c>
    </row>
    <row r="4" spans="1:27" ht="31.15">
      <c r="A4" s="69" t="s">
        <v>208</v>
      </c>
      <c r="B4" s="69" t="s">
        <v>209</v>
      </c>
      <c r="C4" s="69" t="s">
        <v>60</v>
      </c>
      <c r="D4" s="70" t="s">
        <v>210</v>
      </c>
      <c r="E4" s="59"/>
      <c r="F4" s="59"/>
      <c r="G4" s="59" t="s">
        <v>211</v>
      </c>
      <c r="H4" s="60" t="s">
        <v>212</v>
      </c>
      <c r="I4" s="60"/>
      <c r="J4" s="60"/>
      <c r="Z4" s="71" t="str">
        <f t="shared" ref="Z4:Z17" si="0">_xlfn.TEXTJOIN(CHAR(10), TRUE, E4:G4)</f>
        <v>Student support budget</v>
      </c>
      <c r="AA4" s="71" t="str">
        <f t="shared" ref="AA4:AA17" si="1">_xlfn.TEXTJOIN(CHAR(10), TRUE, H4:J4)</f>
        <v xml:space="preserve">Autonomy rate for student support cases </v>
      </c>
    </row>
    <row r="5" spans="1:27" ht="117" customHeight="1">
      <c r="A5" s="69" t="s">
        <v>213</v>
      </c>
      <c r="B5" s="69" t="s">
        <v>214</v>
      </c>
      <c r="C5" s="69" t="s">
        <v>60</v>
      </c>
      <c r="D5" s="70" t="s">
        <v>215</v>
      </c>
      <c r="E5" s="59" t="s">
        <v>216</v>
      </c>
      <c r="F5" s="59" t="s">
        <v>217</v>
      </c>
      <c r="G5" s="59"/>
      <c r="H5" s="60"/>
      <c r="I5" s="60"/>
      <c r="J5" s="60"/>
      <c r="Z5" s="71" t="str">
        <f>_xlfn.TEXTJOIN(CHAR(10), TRUE, E5:G5)</f>
        <v xml:space="preserve">General support case response rate
General support case resolution rate
Phone answer speed
Phone handle rate
Agent availability
Phone support QA 
Phone support CSAT 
Phone support first contact resolution 
</v>
      </c>
      <c r="AA5" s="71" t="str">
        <f t="shared" si="1"/>
        <v/>
      </c>
    </row>
    <row r="6" spans="1:27" ht="135" customHeight="1">
      <c r="A6" s="69" t="s">
        <v>218</v>
      </c>
      <c r="B6" s="69" t="s">
        <v>219</v>
      </c>
      <c r="C6" s="69" t="s">
        <v>60</v>
      </c>
      <c r="D6" s="47" t="s">
        <v>220</v>
      </c>
      <c r="E6" s="61" t="s">
        <v>221</v>
      </c>
      <c r="F6" s="61" t="s">
        <v>222</v>
      </c>
      <c r="G6" s="59" t="s">
        <v>223</v>
      </c>
      <c r="H6" s="60"/>
      <c r="I6" s="60"/>
      <c r="J6" s="60"/>
      <c r="Z6" s="71" t="str">
        <f t="shared" si="0"/>
        <v>Request-to-KB publish rate
QA feedback cycle rate 
QA calibration consistency rate
Knowledge Base audit pass rate
QA team lead feedback success rate
Cost per QA Evaluation ($ per Evaluation)
Cost per KB Article Maintained ($ per Article Updated or Audited)</v>
      </c>
      <c r="AA6" s="71" t="str">
        <f t="shared" si="1"/>
        <v/>
      </c>
    </row>
    <row r="7" spans="1:27" ht="43.15">
      <c r="A7" s="69" t="s">
        <v>224</v>
      </c>
      <c r="B7" s="69" t="s">
        <v>225</v>
      </c>
      <c r="C7" s="69" t="s">
        <v>60</v>
      </c>
      <c r="D7" s="70" t="s">
        <v>226</v>
      </c>
      <c r="E7" s="61" t="s">
        <v>227</v>
      </c>
      <c r="F7" s="59" t="s">
        <v>228</v>
      </c>
      <c r="G7" s="59"/>
      <c r="H7" s="60"/>
      <c r="I7" s="60"/>
      <c r="J7" s="60"/>
      <c r="Z7" s="71" t="str">
        <f t="shared" si="0"/>
        <v>KB publishing rate
QA evaluation completion rate
DSAT and critical violation delivery rate</v>
      </c>
      <c r="AA7" s="71" t="str">
        <f t="shared" si="1"/>
        <v/>
      </c>
    </row>
    <row r="8" spans="1:27" ht="31.15">
      <c r="A8" s="69" t="s">
        <v>229</v>
      </c>
      <c r="B8" s="69" t="s">
        <v>230</v>
      </c>
      <c r="C8" s="69" t="s">
        <v>60</v>
      </c>
      <c r="D8" s="70" t="s">
        <v>231</v>
      </c>
      <c r="E8" s="59" t="s">
        <v>232</v>
      </c>
      <c r="F8" s="59"/>
      <c r="G8" s="59" t="s">
        <v>233</v>
      </c>
      <c r="H8" s="60" t="s">
        <v>234</v>
      </c>
      <c r="I8" s="60"/>
      <c r="J8" s="60"/>
      <c r="Z8" s="71" t="str">
        <f>_xlfn.TEXTJOIN(CHAR(10), TRUE, E8:G8)</f>
        <v>Tech support case resolution rate
Tech support costs</v>
      </c>
      <c r="AA8" s="71" t="str">
        <f>_xlfn.TEXTJOIN(CHAR(10), TRUE, H8:J8)</f>
        <v>Autonomy rate for tech support cases</v>
      </c>
    </row>
    <row r="9" spans="1:27" ht="72">
      <c r="A9" s="69" t="s">
        <v>235</v>
      </c>
      <c r="B9" s="69" t="s">
        <v>236</v>
      </c>
      <c r="C9" s="69" t="s">
        <v>60</v>
      </c>
      <c r="D9" s="70" t="s">
        <v>237</v>
      </c>
      <c r="E9" s="61" t="s">
        <v>238</v>
      </c>
      <c r="F9" s="59" t="s">
        <v>239</v>
      </c>
      <c r="G9" s="59"/>
      <c r="H9" s="60"/>
      <c r="I9" s="60"/>
      <c r="J9" s="60"/>
      <c r="Z9" s="71" t="str">
        <f>_xlfn.TEXTJOIN(CHAR(10), TRUE, E9:G9)</f>
        <v>Escalated case resolution rate
Tech Support case QA 
Tech Support case CSAT
Tech Support case first contract resolution</v>
      </c>
      <c r="AA9" s="71" t="str">
        <f>_xlfn.TEXTJOIN(CHAR(10), TRUE, H9:J9)</f>
        <v/>
      </c>
    </row>
    <row r="10" spans="1:27" ht="65.25" customHeight="1">
      <c r="A10" s="69" t="s">
        <v>240</v>
      </c>
      <c r="B10" s="69" t="s">
        <v>241</v>
      </c>
      <c r="C10" s="69" t="s">
        <v>60</v>
      </c>
      <c r="D10" s="70" t="s">
        <v>242</v>
      </c>
      <c r="E10" s="59"/>
      <c r="F10" s="59"/>
      <c r="G10" s="59" t="s">
        <v>243</v>
      </c>
      <c r="H10" s="60" t="s">
        <v>244</v>
      </c>
      <c r="I10" s="60" t="s">
        <v>245</v>
      </c>
      <c r="J10" s="60"/>
      <c r="Z10" s="71" t="str">
        <f t="shared" si="0"/>
        <v>Registrar budget</v>
      </c>
      <c r="AA10" s="71" t="str">
        <f t="shared" si="1"/>
        <v>Autonomy for registrar processes
Autonomy for registrar cases
Case CSAT for planning and registration</v>
      </c>
    </row>
    <row r="11" spans="1:27" ht="72">
      <c r="A11" s="69" t="s">
        <v>246</v>
      </c>
      <c r="B11" s="69" t="s">
        <v>247</v>
      </c>
      <c r="C11" s="69" t="s">
        <v>60</v>
      </c>
      <c r="D11" s="70" t="s">
        <v>248</v>
      </c>
      <c r="E11" s="59" t="s">
        <v>249</v>
      </c>
      <c r="F11" s="59" t="s">
        <v>250</v>
      </c>
      <c r="G11" s="59"/>
      <c r="H11" s="60"/>
      <c r="I11" s="60"/>
      <c r="J11" s="60"/>
      <c r="Z11" s="71" t="str">
        <f t="shared" si="0"/>
        <v xml:space="preserve">Process case resolution rate
On-time catalog publishing rate
On-time system configuration rate
Process case QA 
Process case CSAT </v>
      </c>
      <c r="AA11" s="71" t="str">
        <f t="shared" si="1"/>
        <v/>
      </c>
    </row>
    <row r="12" spans="1:27" ht="69.75" customHeight="1">
      <c r="A12" s="69" t="s">
        <v>251</v>
      </c>
      <c r="B12" s="69" t="s">
        <v>247</v>
      </c>
      <c r="C12" s="69" t="s">
        <v>60</v>
      </c>
      <c r="D12" s="70" t="s">
        <v>252</v>
      </c>
      <c r="E12" s="59" t="s">
        <v>253</v>
      </c>
      <c r="F12" s="59" t="s">
        <v>254</v>
      </c>
      <c r="G12" s="59"/>
      <c r="H12" s="60"/>
      <c r="I12" s="60"/>
      <c r="J12" s="60"/>
      <c r="Z12" s="71" t="str">
        <f t="shared" si="0"/>
        <v xml:space="preserve">Records case resolution rate
Records case QA
Records case CSAT </v>
      </c>
      <c r="AA12" s="71" t="str">
        <f t="shared" si="1"/>
        <v/>
      </c>
    </row>
    <row r="13" spans="1:27" ht="72">
      <c r="A13" s="69" t="s">
        <v>255</v>
      </c>
      <c r="B13" s="69" t="s">
        <v>256</v>
      </c>
      <c r="C13" s="36" t="s">
        <v>163</v>
      </c>
      <c r="D13" s="70" t="s">
        <v>257</v>
      </c>
      <c r="E13" s="59" t="s">
        <v>258</v>
      </c>
      <c r="F13" s="59" t="s">
        <v>259</v>
      </c>
      <c r="G13" s="59"/>
      <c r="H13" s="60"/>
      <c r="I13" s="60"/>
      <c r="J13" s="60"/>
      <c r="Z13" s="71" t="str">
        <f t="shared" si="0"/>
        <v xml:space="preserve">Graduation application case completion rate
Award processing rate
Number of Rescinded Degrees
Application QA 
Awarding QA </v>
      </c>
      <c r="AA13" s="71" t="str">
        <f t="shared" si="1"/>
        <v/>
      </c>
    </row>
    <row r="14" spans="1:27" ht="57.6">
      <c r="A14" s="69" t="s">
        <v>260</v>
      </c>
      <c r="B14" s="69" t="s">
        <v>261</v>
      </c>
      <c r="C14" s="69" t="s">
        <v>60</v>
      </c>
      <c r="D14" s="70" t="s">
        <v>262</v>
      </c>
      <c r="E14" s="59" t="s">
        <v>263</v>
      </c>
      <c r="F14" s="59" t="s">
        <v>264</v>
      </c>
      <c r="G14" s="59"/>
      <c r="H14" s="60"/>
      <c r="I14" s="60"/>
      <c r="J14" s="60"/>
      <c r="Z14" s="71" t="str">
        <f t="shared" si="0"/>
        <v xml:space="preserve">Process case completion rate
Process case CSAT
Process case QA 
Transcript accuracy QA </v>
      </c>
      <c r="AA14" s="71" t="str">
        <f t="shared" si="1"/>
        <v/>
      </c>
    </row>
    <row r="15" spans="1:27" ht="43.15">
      <c r="A15" s="69" t="s">
        <v>265</v>
      </c>
      <c r="B15" s="69" t="s">
        <v>266</v>
      </c>
      <c r="C15" s="69" t="s">
        <v>60</v>
      </c>
      <c r="D15" s="70" t="s">
        <v>267</v>
      </c>
      <c r="E15" s="59" t="s">
        <v>268</v>
      </c>
      <c r="F15" s="59" t="s">
        <v>269</v>
      </c>
      <c r="G15" s="59"/>
      <c r="H15" s="60"/>
      <c r="I15" s="60"/>
      <c r="J15" s="60"/>
      <c r="Z15" s="71" t="str">
        <f t="shared" si="0"/>
        <v xml:space="preserve">Degree planning escalation case resolution rate
Degree planning escalation case CSAT 
Degree planning escalation case QA </v>
      </c>
      <c r="AA15" s="71" t="str">
        <f t="shared" si="1"/>
        <v/>
      </c>
    </row>
    <row r="16" spans="1:27" ht="86.45">
      <c r="A16" s="69" t="s">
        <v>270</v>
      </c>
      <c r="B16" s="69" t="s">
        <v>271</v>
      </c>
      <c r="C16" s="69" t="s">
        <v>272</v>
      </c>
      <c r="D16" s="70" t="s">
        <v>273</v>
      </c>
      <c r="E16" s="59" t="s">
        <v>274</v>
      </c>
      <c r="F16" s="59" t="s">
        <v>275</v>
      </c>
      <c r="G16" s="59"/>
      <c r="H16" s="60"/>
      <c r="I16" s="60"/>
      <c r="J16" s="60"/>
      <c r="Z16" s="71" t="str">
        <f t="shared" si="0"/>
        <v>Enrollment verification completion rate
Apostille completion rate
Enrollment verification QA
Apostille QA 
Enrollment verification CSAT
Apostille C-Sat</v>
      </c>
      <c r="AA16" s="71" t="str">
        <f t="shared" si="1"/>
        <v/>
      </c>
    </row>
    <row r="17" spans="1:27" s="72" customFormat="1" ht="43.15">
      <c r="A17" s="69" t="s">
        <v>276</v>
      </c>
      <c r="B17" s="69" t="s">
        <v>277</v>
      </c>
      <c r="C17" s="69" t="s">
        <v>81</v>
      </c>
      <c r="D17" s="70" t="s">
        <v>278</v>
      </c>
      <c r="E17" s="59" t="s">
        <v>279</v>
      </c>
      <c r="F17" s="59" t="s">
        <v>280</v>
      </c>
      <c r="G17" s="59"/>
      <c r="H17" s="60"/>
      <c r="I17" s="60"/>
      <c r="J17" s="60"/>
      <c r="Z17" s="71" t="str">
        <f t="shared" si="0"/>
        <v xml:space="preserve">Registration issue case resolution rate
Registration issue case QA
Registration issue case CSAT </v>
      </c>
      <c r="AA17" s="71" t="str">
        <f t="shared" si="1"/>
        <v/>
      </c>
    </row>
    <row r="18" spans="1:27" ht="20.25" hidden="1" customHeight="1">
      <c r="A18" s="69"/>
      <c r="B18" s="69"/>
      <c r="C18" s="69"/>
      <c r="D18" s="73"/>
      <c r="E18" s="74"/>
      <c r="F18" s="74"/>
      <c r="G18" s="75"/>
      <c r="H18" s="76"/>
      <c r="I18" s="76"/>
      <c r="J18" s="76"/>
      <c r="Z18" s="71" t="str">
        <f t="shared" ref="Z18:Z30" si="2">_xlfn.TEXTJOIN(" | ", TRUE, E18:J18)</f>
        <v/>
      </c>
    </row>
    <row r="19" spans="1:27" ht="20.25" hidden="1" customHeight="1">
      <c r="A19" s="69"/>
      <c r="B19" s="69"/>
      <c r="C19" s="69"/>
      <c r="D19" s="73"/>
      <c r="E19" s="74"/>
      <c r="F19" s="74"/>
      <c r="G19" s="75"/>
      <c r="H19" s="76"/>
      <c r="I19" s="76"/>
      <c r="J19" s="76"/>
      <c r="Z19" s="71" t="str">
        <f t="shared" si="2"/>
        <v/>
      </c>
    </row>
    <row r="20" spans="1:27" ht="20.25" hidden="1" customHeight="1">
      <c r="A20" s="69"/>
      <c r="B20" s="69"/>
      <c r="C20" s="69"/>
      <c r="D20" s="73"/>
      <c r="E20" s="74"/>
      <c r="F20" s="74"/>
      <c r="G20" s="75"/>
      <c r="H20" s="76"/>
      <c r="I20" s="76"/>
      <c r="J20" s="76"/>
      <c r="Z20" s="71" t="str">
        <f t="shared" si="2"/>
        <v/>
      </c>
    </row>
    <row r="21" spans="1:27" ht="20.25" hidden="1" customHeight="1">
      <c r="A21" s="69"/>
      <c r="B21" s="69"/>
      <c r="C21" s="69"/>
      <c r="D21" s="73"/>
      <c r="E21" s="74"/>
      <c r="F21" s="74"/>
      <c r="G21" s="75"/>
      <c r="H21" s="76"/>
      <c r="I21" s="76"/>
      <c r="J21" s="76"/>
      <c r="Z21" s="71" t="str">
        <f t="shared" si="2"/>
        <v/>
      </c>
    </row>
    <row r="22" spans="1:27" ht="20.25" hidden="1" customHeight="1">
      <c r="A22" s="69"/>
      <c r="B22" s="69"/>
      <c r="C22" s="69"/>
      <c r="D22" s="73"/>
      <c r="E22" s="74"/>
      <c r="F22" s="74"/>
      <c r="G22" s="75"/>
      <c r="H22" s="76"/>
      <c r="I22" s="76"/>
      <c r="J22" s="76"/>
      <c r="Z22" s="71" t="str">
        <f t="shared" si="2"/>
        <v/>
      </c>
    </row>
    <row r="23" spans="1:27" ht="20.25" hidden="1" customHeight="1">
      <c r="A23" s="69"/>
      <c r="B23" s="69"/>
      <c r="C23" s="69"/>
      <c r="D23" s="73"/>
      <c r="E23" s="74"/>
      <c r="F23" s="74"/>
      <c r="G23" s="75"/>
      <c r="H23" s="76"/>
      <c r="I23" s="76"/>
      <c r="J23" s="76"/>
      <c r="Z23" s="71" t="str">
        <f t="shared" si="2"/>
        <v/>
      </c>
    </row>
    <row r="24" spans="1:27" ht="20.25" hidden="1" customHeight="1">
      <c r="A24" s="69"/>
      <c r="B24" s="69"/>
      <c r="C24" s="69"/>
      <c r="D24" s="73"/>
      <c r="E24" s="74"/>
      <c r="F24" s="74"/>
      <c r="G24" s="75"/>
      <c r="H24" s="76"/>
      <c r="I24" s="76"/>
      <c r="J24" s="76"/>
      <c r="Z24" s="71" t="str">
        <f t="shared" si="2"/>
        <v/>
      </c>
    </row>
    <row r="25" spans="1:27" ht="20.25" hidden="1" customHeight="1">
      <c r="A25" s="69"/>
      <c r="B25" s="69"/>
      <c r="C25" s="69"/>
      <c r="D25" s="73"/>
      <c r="E25" s="74"/>
      <c r="F25" s="74"/>
      <c r="G25" s="75"/>
      <c r="H25" s="76"/>
      <c r="I25" s="76"/>
      <c r="J25" s="76"/>
      <c r="Z25" s="71" t="str">
        <f t="shared" si="2"/>
        <v/>
      </c>
    </row>
    <row r="26" spans="1:27" ht="20.25" hidden="1" customHeight="1">
      <c r="A26" s="69"/>
      <c r="B26" s="69"/>
      <c r="C26" s="69"/>
      <c r="D26" s="73"/>
      <c r="E26" s="74"/>
      <c r="F26" s="74"/>
      <c r="G26" s="75"/>
      <c r="H26" s="76"/>
      <c r="I26" s="76"/>
      <c r="J26" s="76"/>
      <c r="Z26" s="71" t="str">
        <f t="shared" si="2"/>
        <v/>
      </c>
    </row>
    <row r="27" spans="1:27" ht="20.25" hidden="1" customHeight="1">
      <c r="A27" s="69"/>
      <c r="B27" s="69"/>
      <c r="C27" s="69"/>
      <c r="D27" s="73"/>
      <c r="E27" s="74"/>
      <c r="F27" s="74"/>
      <c r="G27" s="75"/>
      <c r="H27" s="76"/>
      <c r="I27" s="76"/>
      <c r="J27" s="76"/>
      <c r="Z27" s="71" t="str">
        <f t="shared" si="2"/>
        <v/>
      </c>
    </row>
    <row r="28" spans="1:27" ht="20.25" hidden="1" customHeight="1">
      <c r="A28" s="69"/>
      <c r="B28" s="69"/>
      <c r="C28" s="69"/>
      <c r="D28" s="73"/>
      <c r="E28" s="74"/>
      <c r="F28" s="74"/>
      <c r="G28" s="75"/>
      <c r="H28" s="76"/>
      <c r="I28" s="76"/>
      <c r="J28" s="76"/>
      <c r="Z28" s="71" t="str">
        <f t="shared" si="2"/>
        <v/>
      </c>
    </row>
    <row r="29" spans="1:27" ht="20.25" hidden="1" customHeight="1">
      <c r="Z29" s="71" t="str">
        <f t="shared" si="2"/>
        <v/>
      </c>
    </row>
    <row r="30" spans="1:27" ht="20.25" hidden="1" customHeight="1">
      <c r="Z30" s="71" t="str">
        <f t="shared" si="2"/>
        <v/>
      </c>
    </row>
  </sheetData>
  <mergeCells count="3">
    <mergeCell ref="A1:C1"/>
    <mergeCell ref="E1:G1"/>
    <mergeCell ref="H1:J1"/>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5C58D-BC3B-4F08-9266-C47689ED675F}">
  <dimension ref="A1:AA32"/>
  <sheetViews>
    <sheetView zoomScale="140" zoomScaleNormal="140" workbookViewId="0">
      <pane xSplit="1" ySplit="2" topLeftCell="D3" activePane="bottomRight" state="frozen"/>
      <selection pane="bottomRight" activeCell="G3" sqref="G3"/>
      <selection pane="bottomLeft"/>
      <selection pane="topRight"/>
    </sheetView>
  </sheetViews>
  <sheetFormatPr defaultColWidth="8.85546875" defaultRowHeight="20.25" customHeight="1" zeroHeight="1"/>
  <cols>
    <col min="1" max="1" width="19" style="63" customWidth="1"/>
    <col min="2" max="2" width="27.140625" style="63" customWidth="1"/>
    <col min="3" max="3" width="19" style="63" customWidth="1"/>
    <col min="4" max="4" width="40.42578125" style="63" customWidth="1"/>
    <col min="5" max="5" width="38.140625" style="63" customWidth="1"/>
    <col min="6" max="6" width="45" style="63" customWidth="1"/>
    <col min="7" max="7" width="34.140625" style="63" customWidth="1"/>
    <col min="8" max="8" width="29.85546875" style="63" customWidth="1"/>
    <col min="9" max="10" width="21.85546875" style="63" customWidth="1"/>
    <col min="11" max="25" width="8.85546875" style="63"/>
    <col min="26" max="26" width="50.85546875" style="63" customWidth="1"/>
    <col min="27" max="27" width="28.28515625" style="63" customWidth="1"/>
    <col min="28" max="16384" width="8.85546875" style="63"/>
  </cols>
  <sheetData>
    <row r="1" spans="1:27" ht="20.25" customHeight="1">
      <c r="A1" s="159" t="s">
        <v>94</v>
      </c>
      <c r="B1" s="159"/>
      <c r="C1" s="159"/>
      <c r="D1" s="62"/>
      <c r="E1" s="160" t="s">
        <v>21</v>
      </c>
      <c r="F1" s="160"/>
      <c r="G1" s="161"/>
      <c r="H1" s="162" t="s">
        <v>22</v>
      </c>
      <c r="I1" s="162"/>
      <c r="J1" s="162"/>
    </row>
    <row r="2" spans="1:27" ht="20.25" customHeight="1">
      <c r="A2" s="64" t="s">
        <v>95</v>
      </c>
      <c r="B2" s="64" t="s">
        <v>200</v>
      </c>
      <c r="C2" s="65" t="s">
        <v>56</v>
      </c>
      <c r="D2" s="65" t="s">
        <v>57</v>
      </c>
      <c r="E2" s="66" t="s">
        <v>23</v>
      </c>
      <c r="F2" s="66" t="s">
        <v>24</v>
      </c>
      <c r="G2" s="67" t="s">
        <v>25</v>
      </c>
      <c r="H2" s="68" t="s">
        <v>26</v>
      </c>
      <c r="I2" s="68" t="s">
        <v>27</v>
      </c>
      <c r="J2" s="68" t="s">
        <v>28</v>
      </c>
    </row>
    <row r="3" spans="1:27" ht="129.6">
      <c r="A3" s="69" t="s">
        <v>201</v>
      </c>
      <c r="B3" s="69" t="s">
        <v>202</v>
      </c>
      <c r="C3" s="69" t="s">
        <v>60</v>
      </c>
      <c r="D3" s="70" t="s">
        <v>203</v>
      </c>
      <c r="E3" s="59" t="s">
        <v>204</v>
      </c>
      <c r="F3" s="59" t="s">
        <v>205</v>
      </c>
      <c r="G3" s="59" t="s">
        <v>206</v>
      </c>
      <c r="H3" s="60" t="s">
        <v>207</v>
      </c>
      <c r="I3" s="60" t="s">
        <v>103</v>
      </c>
      <c r="J3" s="60"/>
      <c r="Z3" s="71" t="str">
        <f>_xlfn.TEXTJOIN(CHAR(10), TRUE, E3:G3)</f>
        <v>Teams meeting or exceeding response service-level agreements
Teams meeting or exceeding resolution service-level agreements
Teams meeting QA service-level agreements
Teams meeting CSAT service-level agreements
Teams meeting first contact resolution service-level agreements
Student records, registration, and support department budget</v>
      </c>
      <c r="AA3" s="71" t="str">
        <f>_xlfn.TEXTJOIN(CHAR(10), TRUE, H3:J3)</f>
        <v>Overall student autonomy (primary)
Overall student satisfaction (secondary)</v>
      </c>
    </row>
    <row r="4" spans="1:27" ht="86.45">
      <c r="A4" s="69" t="s">
        <v>208</v>
      </c>
      <c r="B4" s="69" t="s">
        <v>209</v>
      </c>
      <c r="C4" s="69" t="s">
        <v>60</v>
      </c>
      <c r="D4" s="70" t="s">
        <v>210</v>
      </c>
      <c r="E4" s="59" t="s">
        <v>281</v>
      </c>
      <c r="F4" s="59" t="s">
        <v>282</v>
      </c>
      <c r="G4" s="59" t="s">
        <v>211</v>
      </c>
      <c r="H4" s="60" t="s">
        <v>212</v>
      </c>
      <c r="I4" s="60"/>
      <c r="J4" s="60"/>
      <c r="Z4" s="71" t="str">
        <f t="shared" ref="Z4:Z17" si="0">_xlfn.TEXTJOIN(CHAR(10), TRUE, E4:G4)</f>
        <v>Student support case response rates
Student support case resolution rates
Student support QA
Student support CSAT
Student support first contact resolution
Student support budget</v>
      </c>
      <c r="AA4" s="71" t="str">
        <f t="shared" ref="AA4:AA17" si="1">_xlfn.TEXTJOIN(CHAR(10), TRUE, H4:J4)</f>
        <v xml:space="preserve">Autonomy rate for student support cases </v>
      </c>
    </row>
    <row r="5" spans="1:27" ht="117" customHeight="1">
      <c r="A5" s="69" t="s">
        <v>213</v>
      </c>
      <c r="B5" s="69" t="s">
        <v>214</v>
      </c>
      <c r="C5" s="69" t="s">
        <v>60</v>
      </c>
      <c r="D5" s="70" t="s">
        <v>215</v>
      </c>
      <c r="E5" s="59" t="s">
        <v>283</v>
      </c>
      <c r="F5" s="59" t="s">
        <v>284</v>
      </c>
      <c r="G5" s="59" t="s">
        <v>285</v>
      </c>
      <c r="H5" s="60"/>
      <c r="I5" s="60"/>
      <c r="J5" s="60"/>
      <c r="Z5" s="71" t="str">
        <f t="shared" si="0"/>
        <v>General support case response rate
General support case resolution rate
Phone answer Speed
Phone handle rate
Agent availability
Phone support QA 
Phone support CSAT 
Phone upport first contanct resolution 
Phone support costs</v>
      </c>
      <c r="AA5" s="71" t="str">
        <f t="shared" si="1"/>
        <v/>
      </c>
    </row>
    <row r="6" spans="1:27" ht="135" customHeight="1">
      <c r="A6" s="69" t="s">
        <v>218</v>
      </c>
      <c r="B6" s="69" t="s">
        <v>219</v>
      </c>
      <c r="C6" s="69" t="s">
        <v>60</v>
      </c>
      <c r="D6" s="47" t="s">
        <v>220</v>
      </c>
      <c r="E6" s="61" t="s">
        <v>221</v>
      </c>
      <c r="F6" s="61" t="s">
        <v>222</v>
      </c>
      <c r="G6" s="59" t="s">
        <v>223</v>
      </c>
      <c r="H6" s="60"/>
      <c r="I6" s="60"/>
      <c r="J6" s="60"/>
      <c r="Z6" s="71" t="str">
        <f t="shared" si="0"/>
        <v>Request-to-KB publish rate
QA feedback cycle rate 
QA calibration consistency rate
Knowledge Base audit pass rate
QA team lead feedback success rate
Cost per QA Evaluation ($ per Evaluation)
Cost per KB Article Maintained ($ per Article Updated or Audited)</v>
      </c>
      <c r="AA6" s="71" t="str">
        <f t="shared" si="1"/>
        <v/>
      </c>
    </row>
    <row r="7" spans="1:27" ht="72">
      <c r="A7" s="69" t="s">
        <v>224</v>
      </c>
      <c r="B7" s="69" t="s">
        <v>225</v>
      </c>
      <c r="C7" s="69" t="s">
        <v>60</v>
      </c>
      <c r="D7" s="70" t="s">
        <v>226</v>
      </c>
      <c r="E7" s="61" t="s">
        <v>227</v>
      </c>
      <c r="F7" s="59" t="s">
        <v>228</v>
      </c>
      <c r="G7" s="59" t="s">
        <v>286</v>
      </c>
      <c r="H7" s="60"/>
      <c r="I7" s="60"/>
      <c r="J7" s="60"/>
      <c r="Z7" s="71" t="str">
        <f t="shared" si="0"/>
        <v>KB publishing rate
QA evaluation completion rate
DSAT and critical violation delivery rate
QA Team Costs
Knowledge Base (KB) Team Costs</v>
      </c>
      <c r="AA7" s="71" t="str">
        <f t="shared" si="1"/>
        <v/>
      </c>
    </row>
    <row r="8" spans="1:27" ht="72">
      <c r="A8" s="69" t="s">
        <v>229</v>
      </c>
      <c r="B8" s="69" t="s">
        <v>230</v>
      </c>
      <c r="C8" s="69" t="s">
        <v>60</v>
      </c>
      <c r="D8" s="70" t="s">
        <v>231</v>
      </c>
      <c r="E8" s="59" t="s">
        <v>232</v>
      </c>
      <c r="F8" s="59" t="s">
        <v>239</v>
      </c>
      <c r="G8" s="59" t="s">
        <v>233</v>
      </c>
      <c r="H8" s="60" t="s">
        <v>234</v>
      </c>
      <c r="I8" s="60"/>
      <c r="J8" s="60"/>
      <c r="Z8" s="71" t="str">
        <f>_xlfn.TEXTJOIN(CHAR(10), TRUE, E8:G8)</f>
        <v>Tech support case resolution rate
Tech Support case QA 
Tech Support case CSAT
Tech Support case first contract resolution
Tech support costs</v>
      </c>
      <c r="AA8" s="71" t="str">
        <f>_xlfn.TEXTJOIN(CHAR(10), TRUE, H8:J8)</f>
        <v>Autonomy rate for tech support cases</v>
      </c>
    </row>
    <row r="9" spans="1:27" ht="86.45">
      <c r="A9" s="69" t="s">
        <v>235</v>
      </c>
      <c r="B9" s="69" t="s">
        <v>236</v>
      </c>
      <c r="C9" s="69" t="s">
        <v>60</v>
      </c>
      <c r="D9" s="70" t="s">
        <v>237</v>
      </c>
      <c r="E9" s="61" t="s">
        <v>287</v>
      </c>
      <c r="F9" s="59" t="s">
        <v>239</v>
      </c>
      <c r="G9" s="59"/>
      <c r="H9" s="60"/>
      <c r="I9" s="60"/>
      <c r="J9" s="60"/>
      <c r="Z9" s="71" t="str">
        <f>_xlfn.TEXTJOIN(CHAR(10), TRUE, E9:G9)</f>
        <v>Escalated case resolution rate
Tech support case response rate
Tech Support case QA 
Tech Support case CSAT
Tech Support case first contract resolution</v>
      </c>
      <c r="AA9" s="71" t="str">
        <f>_xlfn.TEXTJOIN(CHAR(10), TRUE, H9:J9)</f>
        <v/>
      </c>
    </row>
    <row r="10" spans="1:27" ht="72">
      <c r="A10" s="69" t="s">
        <v>240</v>
      </c>
      <c r="B10" s="69" t="s">
        <v>241</v>
      </c>
      <c r="C10" s="69" t="s">
        <v>60</v>
      </c>
      <c r="D10" s="70" t="s">
        <v>242</v>
      </c>
      <c r="E10" s="59" t="s">
        <v>288</v>
      </c>
      <c r="F10" s="59" t="s">
        <v>289</v>
      </c>
      <c r="G10" s="59" t="s">
        <v>243</v>
      </c>
      <c r="H10" s="60" t="s">
        <v>244</v>
      </c>
      <c r="I10" s="60" t="s">
        <v>290</v>
      </c>
      <c r="J10" s="60"/>
      <c r="Z10" s="71" t="str">
        <f t="shared" si="0"/>
        <v>Registrar process resolution rate
Registrar case resolution rate
CSAT for registrar processes
CSAT for registrar cases
Registrar budget</v>
      </c>
      <c r="AA10" s="71" t="str">
        <f t="shared" si="1"/>
        <v>Autonomy for registrar processes
Autonomy for registrar cases
Case C-Sat for planning and registration</v>
      </c>
    </row>
    <row r="11" spans="1:27" ht="86.45">
      <c r="A11" s="69" t="s">
        <v>246</v>
      </c>
      <c r="B11" s="69" t="s">
        <v>247</v>
      </c>
      <c r="C11" s="69" t="s">
        <v>60</v>
      </c>
      <c r="D11" s="70" t="s">
        <v>248</v>
      </c>
      <c r="E11" s="59" t="s">
        <v>249</v>
      </c>
      <c r="F11" s="59" t="s">
        <v>291</v>
      </c>
      <c r="G11" s="59" t="s">
        <v>292</v>
      </c>
      <c r="H11" s="60"/>
      <c r="I11" s="60"/>
      <c r="J11" s="60"/>
      <c r="Z11" s="71" t="str">
        <f t="shared" si="0"/>
        <v>Process case resolution rate
On-time catalog publishing rate
On-time system configuration rate
Process case QA 
Process case CSAT Score
Planning and registration team costs</v>
      </c>
      <c r="AA11" s="71" t="str">
        <f t="shared" si="1"/>
        <v/>
      </c>
    </row>
    <row r="12" spans="1:27" ht="69.75" customHeight="1">
      <c r="A12" s="69" t="s">
        <v>251</v>
      </c>
      <c r="B12" s="69" t="s">
        <v>247</v>
      </c>
      <c r="C12" s="69" t="s">
        <v>60</v>
      </c>
      <c r="D12" s="70" t="s">
        <v>252</v>
      </c>
      <c r="E12" s="59" t="s">
        <v>253</v>
      </c>
      <c r="F12" s="59" t="s">
        <v>254</v>
      </c>
      <c r="G12" s="59" t="s">
        <v>293</v>
      </c>
      <c r="H12" s="60"/>
      <c r="I12" s="60"/>
      <c r="J12" s="60"/>
      <c r="Z12" s="71" t="str">
        <f t="shared" si="0"/>
        <v>Records case resolution rate
Records case QA
Records case CSAT 
Records team costs</v>
      </c>
      <c r="AA12" s="71" t="str">
        <f t="shared" si="1"/>
        <v/>
      </c>
    </row>
    <row r="13" spans="1:27" ht="86.45">
      <c r="A13" s="69" t="s">
        <v>294</v>
      </c>
      <c r="B13" s="69" t="s">
        <v>256</v>
      </c>
      <c r="C13" s="69" t="s">
        <v>60</v>
      </c>
      <c r="D13" s="70" t="s">
        <v>257</v>
      </c>
      <c r="E13" s="59" t="s">
        <v>258</v>
      </c>
      <c r="F13" s="59" t="s">
        <v>259</v>
      </c>
      <c r="G13" s="59" t="s">
        <v>295</v>
      </c>
      <c r="H13" s="60"/>
      <c r="I13" s="60"/>
      <c r="J13" s="60"/>
      <c r="Z13" s="71" t="str">
        <f t="shared" si="0"/>
        <v>Graduation application case completion rate
Award processing rate
Number of Rescinded Degrees
Application QA 
Awarding QA 
Graduation team costs</v>
      </c>
      <c r="AA13" s="71" t="str">
        <f t="shared" si="1"/>
        <v/>
      </c>
    </row>
    <row r="14" spans="1:27" ht="72">
      <c r="A14" s="69" t="s">
        <v>260</v>
      </c>
      <c r="B14" s="69" t="s">
        <v>261</v>
      </c>
      <c r="C14" s="69" t="s">
        <v>60</v>
      </c>
      <c r="D14" s="70" t="s">
        <v>262</v>
      </c>
      <c r="E14" s="59" t="s">
        <v>263</v>
      </c>
      <c r="F14" s="59" t="s">
        <v>296</v>
      </c>
      <c r="G14" s="59" t="s">
        <v>297</v>
      </c>
      <c r="H14" s="60"/>
      <c r="I14" s="60"/>
      <c r="J14" s="60"/>
      <c r="Z14" s="71" t="str">
        <f t="shared" si="0"/>
        <v xml:space="preserve">Process case completion rate
Process case CSAT
Process case QA 
Transcript Accuracy QA 
Process team costs </v>
      </c>
      <c r="AA14" s="71" t="str">
        <f t="shared" si="1"/>
        <v/>
      </c>
    </row>
    <row r="15" spans="1:27" ht="57.6">
      <c r="A15" s="69" t="s">
        <v>265</v>
      </c>
      <c r="B15" s="69" t="s">
        <v>266</v>
      </c>
      <c r="C15" s="69" t="s">
        <v>60</v>
      </c>
      <c r="D15" s="70" t="s">
        <v>267</v>
      </c>
      <c r="E15" s="59" t="s">
        <v>268</v>
      </c>
      <c r="F15" s="59" t="s">
        <v>298</v>
      </c>
      <c r="G15" s="59" t="s">
        <v>299</v>
      </c>
      <c r="H15" s="60"/>
      <c r="I15" s="60"/>
      <c r="J15" s="60"/>
      <c r="Z15" s="71" t="str">
        <f t="shared" si="0"/>
        <v>Degree planning escalation case resolution rate
Degree Planning Escalation case CSAT Score
Degree Planning Escalation case QA Score
Degree planning team costs</v>
      </c>
      <c r="AA15" s="71" t="str">
        <f t="shared" si="1"/>
        <v/>
      </c>
    </row>
    <row r="16" spans="1:27" ht="100.9">
      <c r="A16" s="69" t="s">
        <v>270</v>
      </c>
      <c r="B16" s="69" t="s">
        <v>271</v>
      </c>
      <c r="C16" s="69" t="s">
        <v>272</v>
      </c>
      <c r="D16" s="70" t="s">
        <v>273</v>
      </c>
      <c r="E16" s="59" t="s">
        <v>274</v>
      </c>
      <c r="F16" s="59" t="s">
        <v>275</v>
      </c>
      <c r="G16" s="59" t="s">
        <v>300</v>
      </c>
      <c r="H16" s="60"/>
      <c r="I16" s="60"/>
      <c r="J16" s="60"/>
      <c r="Z16" s="71" t="str">
        <f t="shared" si="0"/>
        <v>Enrollment verification completion rate
Apostille completion rate
Enrollment verification QA
Apostille QA 
Enrollment verification CSAT
Apostille C-Sat
Enrollment verification team costs</v>
      </c>
      <c r="AA16" s="71" t="str">
        <f t="shared" si="1"/>
        <v/>
      </c>
    </row>
    <row r="17" spans="1:27" s="72" customFormat="1" ht="57.6">
      <c r="A17" s="69" t="s">
        <v>301</v>
      </c>
      <c r="B17" s="69" t="s">
        <v>277</v>
      </c>
      <c r="C17" s="69" t="s">
        <v>81</v>
      </c>
      <c r="D17" s="70" t="s">
        <v>278</v>
      </c>
      <c r="E17" s="59" t="s">
        <v>279</v>
      </c>
      <c r="F17" s="59" t="s">
        <v>280</v>
      </c>
      <c r="G17" s="59" t="s">
        <v>302</v>
      </c>
      <c r="H17" s="60"/>
      <c r="I17" s="60"/>
      <c r="J17" s="60"/>
      <c r="Z17" s="71" t="str">
        <f t="shared" si="0"/>
        <v>Registration issue case resolution rate
Registration issue case QA
Registration issue case CSAT 
Registration team costs</v>
      </c>
      <c r="AA17" s="71" t="str">
        <f t="shared" si="1"/>
        <v/>
      </c>
    </row>
    <row r="18" spans="1:27" ht="20.25" hidden="1" customHeight="1">
      <c r="A18" s="69"/>
      <c r="B18" s="69"/>
      <c r="C18" s="69"/>
      <c r="D18" s="73"/>
      <c r="E18" s="74"/>
      <c r="F18" s="74"/>
      <c r="G18" s="75"/>
      <c r="H18" s="76"/>
      <c r="I18" s="76"/>
      <c r="J18" s="76"/>
      <c r="Z18" s="71" t="str">
        <f t="shared" ref="Z18:Z30" si="2">_xlfn.TEXTJOIN(" | ", TRUE, E18:J18)</f>
        <v/>
      </c>
    </row>
    <row r="19" spans="1:27" ht="20.25" hidden="1" customHeight="1">
      <c r="A19" s="69"/>
      <c r="B19" s="69"/>
      <c r="C19" s="69"/>
      <c r="D19" s="73"/>
      <c r="E19" s="74"/>
      <c r="F19" s="74"/>
      <c r="G19" s="75"/>
      <c r="H19" s="76"/>
      <c r="I19" s="76"/>
      <c r="J19" s="76"/>
      <c r="Z19" s="71" t="str">
        <f t="shared" si="2"/>
        <v/>
      </c>
    </row>
    <row r="20" spans="1:27" ht="20.25" hidden="1" customHeight="1">
      <c r="A20" s="69"/>
      <c r="B20" s="69"/>
      <c r="C20" s="69"/>
      <c r="D20" s="73"/>
      <c r="E20" s="74"/>
      <c r="F20" s="74"/>
      <c r="G20" s="75"/>
      <c r="H20" s="76"/>
      <c r="I20" s="76"/>
      <c r="J20" s="76"/>
      <c r="Z20" s="71" t="str">
        <f t="shared" si="2"/>
        <v/>
      </c>
    </row>
    <row r="21" spans="1:27" ht="20.25" hidden="1" customHeight="1">
      <c r="A21" s="69"/>
      <c r="B21" s="69"/>
      <c r="C21" s="69"/>
      <c r="D21" s="73"/>
      <c r="E21" s="74"/>
      <c r="F21" s="74"/>
      <c r="G21" s="75"/>
      <c r="H21" s="76"/>
      <c r="I21" s="76"/>
      <c r="J21" s="76"/>
      <c r="Z21" s="71" t="str">
        <f t="shared" si="2"/>
        <v/>
      </c>
    </row>
    <row r="22" spans="1:27" ht="20.25" hidden="1" customHeight="1">
      <c r="A22" s="69"/>
      <c r="B22" s="69"/>
      <c r="C22" s="69"/>
      <c r="D22" s="73"/>
      <c r="E22" s="74"/>
      <c r="F22" s="74"/>
      <c r="G22" s="75"/>
      <c r="H22" s="76"/>
      <c r="I22" s="76"/>
      <c r="J22" s="76"/>
      <c r="Z22" s="71" t="str">
        <f t="shared" si="2"/>
        <v/>
      </c>
    </row>
    <row r="23" spans="1:27" ht="20.25" hidden="1" customHeight="1">
      <c r="A23" s="69"/>
      <c r="B23" s="69"/>
      <c r="C23" s="69"/>
      <c r="D23" s="73"/>
      <c r="E23" s="74"/>
      <c r="F23" s="74"/>
      <c r="G23" s="75"/>
      <c r="H23" s="76"/>
      <c r="I23" s="76"/>
      <c r="J23" s="76"/>
      <c r="Z23" s="71" t="str">
        <f t="shared" si="2"/>
        <v/>
      </c>
    </row>
    <row r="24" spans="1:27" ht="20.25" hidden="1" customHeight="1">
      <c r="A24" s="69"/>
      <c r="B24" s="69"/>
      <c r="C24" s="69"/>
      <c r="D24" s="73"/>
      <c r="E24" s="74"/>
      <c r="F24" s="74"/>
      <c r="G24" s="75"/>
      <c r="H24" s="76"/>
      <c r="I24" s="76"/>
      <c r="J24" s="76"/>
      <c r="Z24" s="71" t="str">
        <f t="shared" si="2"/>
        <v/>
      </c>
    </row>
    <row r="25" spans="1:27" ht="20.25" hidden="1" customHeight="1">
      <c r="A25" s="69"/>
      <c r="B25" s="69"/>
      <c r="C25" s="69"/>
      <c r="D25" s="73"/>
      <c r="E25" s="74"/>
      <c r="F25" s="74"/>
      <c r="G25" s="75"/>
      <c r="H25" s="76"/>
      <c r="I25" s="76"/>
      <c r="J25" s="76"/>
      <c r="Z25" s="71" t="str">
        <f t="shared" si="2"/>
        <v/>
      </c>
    </row>
    <row r="26" spans="1:27" ht="20.25" hidden="1" customHeight="1">
      <c r="A26" s="69"/>
      <c r="B26" s="69"/>
      <c r="C26" s="69"/>
      <c r="D26" s="73"/>
      <c r="E26" s="74"/>
      <c r="F26" s="74"/>
      <c r="G26" s="75"/>
      <c r="H26" s="76"/>
      <c r="I26" s="76"/>
      <c r="J26" s="76"/>
      <c r="Z26" s="71" t="str">
        <f t="shared" si="2"/>
        <v/>
      </c>
    </row>
    <row r="27" spans="1:27" ht="20.25" hidden="1" customHeight="1">
      <c r="A27" s="69"/>
      <c r="B27" s="69"/>
      <c r="C27" s="69"/>
      <c r="D27" s="73"/>
      <c r="E27" s="74"/>
      <c r="F27" s="74"/>
      <c r="G27" s="75"/>
      <c r="H27" s="76"/>
      <c r="I27" s="76"/>
      <c r="J27" s="76"/>
      <c r="Z27" s="71" t="str">
        <f t="shared" si="2"/>
        <v/>
      </c>
    </row>
    <row r="28" spans="1:27" ht="20.25" hidden="1" customHeight="1">
      <c r="A28" s="69"/>
      <c r="B28" s="69"/>
      <c r="C28" s="69"/>
      <c r="D28" s="73"/>
      <c r="E28" s="74"/>
      <c r="F28" s="74"/>
      <c r="G28" s="75"/>
      <c r="H28" s="76"/>
      <c r="I28" s="76"/>
      <c r="J28" s="76"/>
      <c r="Z28" s="71" t="str">
        <f t="shared" si="2"/>
        <v/>
      </c>
    </row>
    <row r="29" spans="1:27" ht="20.25" customHeight="1">
      <c r="Z29" s="71" t="str">
        <f t="shared" si="2"/>
        <v/>
      </c>
    </row>
    <row r="30" spans="1:27" ht="20.25" customHeight="1">
      <c r="Z30" s="71" t="str">
        <f t="shared" si="2"/>
        <v/>
      </c>
    </row>
    <row r="31" spans="1:27" ht="20.25" customHeight="1"/>
    <row r="32" spans="1:27" ht="20.25" customHeight="1"/>
  </sheetData>
  <mergeCells count="3">
    <mergeCell ref="E1:G1"/>
    <mergeCell ref="H1:J1"/>
    <mergeCell ref="A1:C1"/>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5"/>
  <sheetViews>
    <sheetView workbookViewId="0">
      <pane xSplit="1" ySplit="1" topLeftCell="B2" activePane="bottomRight" state="frozen"/>
      <selection pane="bottomRight" activeCell="I6" sqref="I6"/>
      <selection pane="bottomLeft"/>
      <selection pane="topRight"/>
    </sheetView>
  </sheetViews>
  <sheetFormatPr defaultColWidth="0" defaultRowHeight="14.45" zeroHeight="1"/>
  <cols>
    <col min="1" max="1" width="22.42578125" style="10" customWidth="1"/>
    <col min="2" max="2" width="25.85546875" style="10" customWidth="1"/>
    <col min="3" max="3" width="16.85546875" style="10" customWidth="1"/>
    <col min="4" max="4" width="19.7109375" style="10" customWidth="1"/>
    <col min="5" max="5" width="90.28515625" style="10" customWidth="1"/>
    <col min="6" max="6" width="43.42578125" style="10" customWidth="1"/>
    <col min="7" max="7" width="55.85546875" style="10" customWidth="1"/>
    <col min="8" max="8" width="56.85546875" style="10" customWidth="1"/>
    <col min="9" max="9" width="86.42578125" style="10" customWidth="1"/>
    <col min="10" max="10" width="28.42578125" style="10" customWidth="1"/>
    <col min="11" max="11" width="21.42578125" style="10" customWidth="1"/>
    <col min="12" max="12" width="32" style="9" customWidth="1"/>
    <col min="13" max="16384" width="0" style="9" hidden="1"/>
  </cols>
  <sheetData>
    <row r="1" spans="1:12" s="20" customFormat="1" ht="33.75" customHeight="1">
      <c r="A1" s="18" t="s">
        <v>54</v>
      </c>
      <c r="B1" s="18" t="s">
        <v>55</v>
      </c>
      <c r="C1" s="18" t="s">
        <v>303</v>
      </c>
      <c r="D1" s="18" t="s">
        <v>304</v>
      </c>
      <c r="E1" s="18" t="s">
        <v>305</v>
      </c>
      <c r="F1" s="18" t="s">
        <v>306</v>
      </c>
      <c r="G1" s="18" t="s">
        <v>307</v>
      </c>
      <c r="H1" s="18" t="s">
        <v>308</v>
      </c>
      <c r="I1" s="18" t="s">
        <v>309</v>
      </c>
      <c r="J1" s="19" t="s">
        <v>310</v>
      </c>
      <c r="K1" s="18" t="s">
        <v>311</v>
      </c>
      <c r="L1" s="18" t="s">
        <v>312</v>
      </c>
    </row>
    <row r="2" spans="1:12" ht="379.5" customHeight="1">
      <c r="A2" s="12" t="s">
        <v>58</v>
      </c>
      <c r="B2" s="12" t="s">
        <v>59</v>
      </c>
      <c r="C2" s="12" t="s">
        <v>313</v>
      </c>
      <c r="D2" s="12" t="s">
        <v>314</v>
      </c>
      <c r="E2" s="12" t="s">
        <v>315</v>
      </c>
      <c r="F2" s="12" t="s">
        <v>316</v>
      </c>
      <c r="G2" s="12" t="s">
        <v>317</v>
      </c>
      <c r="H2" s="12" t="s">
        <v>318</v>
      </c>
      <c r="I2" s="12" t="s">
        <v>319</v>
      </c>
      <c r="J2" s="21" t="s">
        <v>320</v>
      </c>
      <c r="K2" s="12" t="s">
        <v>321</v>
      </c>
      <c r="L2" s="22"/>
    </row>
    <row r="3" spans="1:12" ht="396.75" customHeight="1">
      <c r="A3" s="12" t="s">
        <v>65</v>
      </c>
      <c r="B3" s="12" t="s">
        <v>66</v>
      </c>
      <c r="C3" s="12" t="s">
        <v>313</v>
      </c>
      <c r="D3" s="12" t="s">
        <v>314</v>
      </c>
      <c r="E3" s="12" t="s">
        <v>322</v>
      </c>
      <c r="F3" s="12" t="s">
        <v>323</v>
      </c>
      <c r="G3" s="12" t="s">
        <v>324</v>
      </c>
      <c r="H3" s="12" t="s">
        <v>325</v>
      </c>
      <c r="I3" s="12" t="s">
        <v>326</v>
      </c>
      <c r="J3" s="21" t="s">
        <v>320</v>
      </c>
      <c r="K3" s="12" t="s">
        <v>321</v>
      </c>
      <c r="L3" s="22"/>
    </row>
    <row r="4" spans="1:12" ht="154.5" customHeight="1">
      <c r="A4" s="12" t="s">
        <v>70</v>
      </c>
      <c r="B4" s="12" t="s">
        <v>327</v>
      </c>
      <c r="C4" s="12" t="s">
        <v>313</v>
      </c>
      <c r="D4" s="12" t="s">
        <v>314</v>
      </c>
      <c r="E4" s="12" t="s">
        <v>328</v>
      </c>
      <c r="F4" s="12" t="s">
        <v>329</v>
      </c>
      <c r="G4" s="12" t="s">
        <v>330</v>
      </c>
      <c r="H4" s="12" t="s">
        <v>331</v>
      </c>
      <c r="I4" s="12" t="s">
        <v>332</v>
      </c>
      <c r="J4" s="21" t="s">
        <v>320</v>
      </c>
      <c r="K4" s="12" t="s">
        <v>333</v>
      </c>
      <c r="L4" s="22"/>
    </row>
    <row r="5" spans="1:12" ht="198.75" customHeight="1">
      <c r="A5" s="12" t="s">
        <v>145</v>
      </c>
      <c r="B5" s="12" t="s">
        <v>146</v>
      </c>
      <c r="C5" s="12" t="s">
        <v>334</v>
      </c>
      <c r="D5" s="12" t="s">
        <v>335</v>
      </c>
      <c r="E5" s="12" t="s">
        <v>336</v>
      </c>
      <c r="F5" s="12" t="s">
        <v>337</v>
      </c>
      <c r="G5" s="12" t="s">
        <v>338</v>
      </c>
      <c r="H5" s="12" t="s">
        <v>339</v>
      </c>
      <c r="I5" s="12" t="s">
        <v>340</v>
      </c>
      <c r="J5" s="12" t="s">
        <v>341</v>
      </c>
      <c r="K5" s="12" t="s">
        <v>342</v>
      </c>
      <c r="L5" s="22"/>
    </row>
    <row r="6" spans="1:12" ht="259.14999999999998">
      <c r="A6" s="12" t="s">
        <v>175</v>
      </c>
      <c r="B6" s="12" t="s">
        <v>176</v>
      </c>
      <c r="C6" s="12" t="s">
        <v>334</v>
      </c>
      <c r="D6" s="12" t="s">
        <v>314</v>
      </c>
      <c r="E6" s="12" t="s">
        <v>343</v>
      </c>
      <c r="F6" s="12" t="s">
        <v>344</v>
      </c>
      <c r="G6" s="12" t="s">
        <v>345</v>
      </c>
      <c r="H6" s="12" t="s">
        <v>346</v>
      </c>
      <c r="I6" s="12" t="s">
        <v>347</v>
      </c>
      <c r="J6" s="21" t="s">
        <v>348</v>
      </c>
      <c r="K6" s="12" t="s">
        <v>333</v>
      </c>
      <c r="L6" s="22"/>
    </row>
    <row r="7" spans="1:12" ht="207" customHeight="1">
      <c r="A7" s="12" t="s">
        <v>154</v>
      </c>
      <c r="B7" s="12" t="s">
        <v>155</v>
      </c>
      <c r="C7" s="12" t="s">
        <v>334</v>
      </c>
      <c r="D7" s="12" t="s">
        <v>314</v>
      </c>
      <c r="E7" s="12" t="s">
        <v>349</v>
      </c>
      <c r="F7" s="12" t="s">
        <v>350</v>
      </c>
      <c r="G7" s="12" t="s">
        <v>351</v>
      </c>
      <c r="H7" s="12" t="s">
        <v>352</v>
      </c>
      <c r="I7" s="12" t="s">
        <v>340</v>
      </c>
      <c r="J7" s="12" t="s">
        <v>353</v>
      </c>
      <c r="K7" s="12" t="s">
        <v>354</v>
      </c>
      <c r="L7" s="22"/>
    </row>
    <row r="8" spans="1:12" ht="139.5" customHeight="1">
      <c r="A8" s="12" t="s">
        <v>97</v>
      </c>
      <c r="B8" s="12" t="s">
        <v>355</v>
      </c>
      <c r="C8" s="12" t="s">
        <v>356</v>
      </c>
      <c r="D8" s="12" t="s">
        <v>314</v>
      </c>
      <c r="E8" s="12" t="s">
        <v>357</v>
      </c>
      <c r="F8" s="12" t="s">
        <v>340</v>
      </c>
      <c r="G8" s="12" t="s">
        <v>358</v>
      </c>
      <c r="H8" s="12" t="s">
        <v>340</v>
      </c>
      <c r="I8" s="12" t="s">
        <v>359</v>
      </c>
      <c r="J8" s="12" t="s">
        <v>360</v>
      </c>
      <c r="K8" s="12" t="s">
        <v>361</v>
      </c>
      <c r="L8" s="22"/>
    </row>
    <row r="9" spans="1:12" s="14" customFormat="1" ht="219.75" customHeight="1">
      <c r="A9" s="12" t="s">
        <v>105</v>
      </c>
      <c r="B9" s="12" t="s">
        <v>106</v>
      </c>
      <c r="C9" s="12" t="s">
        <v>356</v>
      </c>
      <c r="D9" s="12" t="s">
        <v>314</v>
      </c>
      <c r="E9" s="12" t="s">
        <v>362</v>
      </c>
      <c r="F9" s="12"/>
      <c r="G9" s="12" t="s">
        <v>363</v>
      </c>
      <c r="H9" s="12" t="s">
        <v>364</v>
      </c>
      <c r="I9" s="12" t="s">
        <v>340</v>
      </c>
      <c r="J9" s="12" t="s">
        <v>340</v>
      </c>
      <c r="K9" s="12" t="s">
        <v>365</v>
      </c>
      <c r="L9" s="22"/>
    </row>
    <row r="10" spans="1:12" ht="154.5" customHeight="1">
      <c r="A10" s="12" t="s">
        <v>366</v>
      </c>
      <c r="B10" s="12" t="s">
        <v>143</v>
      </c>
      <c r="C10" s="12" t="s">
        <v>356</v>
      </c>
      <c r="D10" s="12" t="s">
        <v>314</v>
      </c>
      <c r="E10" s="12" t="s">
        <v>367</v>
      </c>
      <c r="F10" s="12" t="s">
        <v>368</v>
      </c>
      <c r="G10" s="12" t="s">
        <v>369</v>
      </c>
      <c r="H10" s="12" t="s">
        <v>340</v>
      </c>
      <c r="I10" s="12" t="s">
        <v>340</v>
      </c>
      <c r="J10" s="12"/>
      <c r="K10" s="12"/>
      <c r="L10" s="22"/>
    </row>
    <row r="11" spans="1:12" ht="258" customHeight="1">
      <c r="A11" s="12" t="s">
        <v>201</v>
      </c>
      <c r="B11" s="12" t="s">
        <v>202</v>
      </c>
      <c r="C11" s="12" t="s">
        <v>370</v>
      </c>
      <c r="D11" s="12" t="s">
        <v>371</v>
      </c>
      <c r="E11" s="12" t="s">
        <v>372</v>
      </c>
      <c r="F11" s="12" t="s">
        <v>373</v>
      </c>
      <c r="G11" s="12" t="s">
        <v>374</v>
      </c>
      <c r="H11" s="12" t="s">
        <v>375</v>
      </c>
      <c r="I11" s="12" t="s">
        <v>340</v>
      </c>
      <c r="J11" s="12" t="s">
        <v>376</v>
      </c>
      <c r="K11" s="12" t="s">
        <v>377</v>
      </c>
      <c r="L11" s="22"/>
    </row>
    <row r="12" spans="1:12" ht="303" customHeight="1">
      <c r="A12" s="12" t="s">
        <v>208</v>
      </c>
      <c r="B12" s="12" t="s">
        <v>378</v>
      </c>
      <c r="C12" s="12" t="s">
        <v>370</v>
      </c>
      <c r="D12" s="12" t="s">
        <v>314</v>
      </c>
      <c r="E12" s="12" t="s">
        <v>379</v>
      </c>
      <c r="F12" s="12" t="s">
        <v>380</v>
      </c>
      <c r="G12" s="12" t="s">
        <v>381</v>
      </c>
      <c r="H12" s="12" t="s">
        <v>382</v>
      </c>
      <c r="I12" s="12"/>
      <c r="J12" s="12" t="s">
        <v>383</v>
      </c>
      <c r="K12" s="12" t="s">
        <v>377</v>
      </c>
      <c r="L12" s="22"/>
    </row>
    <row r="13" spans="1:12" s="13" customFormat="1" ht="323.25" customHeight="1">
      <c r="A13" s="12" t="s">
        <v>229</v>
      </c>
      <c r="B13" s="12" t="s">
        <v>230</v>
      </c>
      <c r="C13" s="12" t="s">
        <v>370</v>
      </c>
      <c r="D13" s="12" t="s">
        <v>314</v>
      </c>
      <c r="E13" s="12" t="s">
        <v>384</v>
      </c>
      <c r="F13" s="12" t="s">
        <v>385</v>
      </c>
      <c r="G13" s="12" t="s">
        <v>386</v>
      </c>
      <c r="H13" s="12" t="s">
        <v>387</v>
      </c>
      <c r="I13" s="12" t="s">
        <v>388</v>
      </c>
      <c r="J13" s="12" t="s">
        <v>389</v>
      </c>
      <c r="K13" s="12" t="s">
        <v>390</v>
      </c>
      <c r="L13" s="22"/>
    </row>
    <row r="14" spans="1:12" ht="153" customHeight="1">
      <c r="A14" s="12" t="s">
        <v>235</v>
      </c>
      <c r="B14" s="12" t="s">
        <v>391</v>
      </c>
      <c r="C14" s="12" t="s">
        <v>370</v>
      </c>
      <c r="D14" s="12" t="s">
        <v>314</v>
      </c>
      <c r="E14" s="12" t="s">
        <v>392</v>
      </c>
      <c r="F14" s="12" t="s">
        <v>393</v>
      </c>
      <c r="G14" s="12" t="s">
        <v>394</v>
      </c>
      <c r="H14" s="12" t="s">
        <v>395</v>
      </c>
      <c r="I14" s="12"/>
      <c r="J14" s="21" t="s">
        <v>389</v>
      </c>
      <c r="K14" s="12" t="s">
        <v>377</v>
      </c>
      <c r="L14" s="22"/>
    </row>
    <row r="15" spans="1:12" ht="207" customHeight="1">
      <c r="A15" s="12" t="s">
        <v>224</v>
      </c>
      <c r="B15" s="12" t="s">
        <v>396</v>
      </c>
      <c r="C15" s="12" t="s">
        <v>370</v>
      </c>
      <c r="D15" s="12" t="s">
        <v>314</v>
      </c>
      <c r="E15" s="12" t="s">
        <v>397</v>
      </c>
      <c r="F15" s="12" t="s">
        <v>398</v>
      </c>
      <c r="G15" s="12" t="s">
        <v>399</v>
      </c>
      <c r="H15" s="12" t="s">
        <v>400</v>
      </c>
      <c r="I15" s="12" t="s">
        <v>340</v>
      </c>
      <c r="J15" s="21" t="s">
        <v>401</v>
      </c>
      <c r="K15" s="12" t="s">
        <v>390</v>
      </c>
      <c r="L15" s="22"/>
    </row>
    <row r="16" spans="1:12" ht="251.25" customHeight="1">
      <c r="A16" s="12" t="s">
        <v>213</v>
      </c>
      <c r="B16" s="12" t="s">
        <v>214</v>
      </c>
      <c r="C16" s="12" t="s">
        <v>370</v>
      </c>
      <c r="D16" s="12" t="s">
        <v>314</v>
      </c>
      <c r="E16" s="12" t="s">
        <v>402</v>
      </c>
      <c r="F16" s="12" t="s">
        <v>403</v>
      </c>
      <c r="G16" s="12" t="s">
        <v>404</v>
      </c>
      <c r="H16" s="12" t="s">
        <v>405</v>
      </c>
      <c r="I16" s="12" t="s">
        <v>340</v>
      </c>
      <c r="J16" s="12" t="s">
        <v>406</v>
      </c>
      <c r="K16" s="12" t="s">
        <v>333</v>
      </c>
      <c r="L16" s="22"/>
    </row>
    <row r="17" spans="1:12">
      <c r="A17" s="11"/>
      <c r="B17" s="11" t="s">
        <v>407</v>
      </c>
      <c r="C17" s="11" t="s">
        <v>408</v>
      </c>
      <c r="D17" s="11"/>
      <c r="E17" s="11"/>
      <c r="F17" s="11"/>
      <c r="G17" s="11"/>
      <c r="H17" s="11"/>
      <c r="I17" s="11"/>
      <c r="J17" s="11"/>
      <c r="K17" s="11"/>
      <c r="L17" s="22"/>
    </row>
    <row r="18" spans="1:12" s="17" customFormat="1" ht="216.75" customHeight="1">
      <c r="A18" s="12" t="s">
        <v>240</v>
      </c>
      <c r="B18" s="12" t="s">
        <v>241</v>
      </c>
      <c r="C18" s="12" t="s">
        <v>408</v>
      </c>
      <c r="D18" s="12" t="s">
        <v>314</v>
      </c>
      <c r="E18" s="12" t="s">
        <v>409</v>
      </c>
      <c r="F18" s="12" t="s">
        <v>410</v>
      </c>
      <c r="G18" s="12" t="s">
        <v>411</v>
      </c>
      <c r="H18" s="12" t="s">
        <v>340</v>
      </c>
      <c r="I18" s="12" t="s">
        <v>412</v>
      </c>
      <c r="J18" s="12" t="s">
        <v>340</v>
      </c>
      <c r="K18" s="12" t="s">
        <v>340</v>
      </c>
      <c r="L18" s="22"/>
    </row>
    <row r="19" spans="1:12" s="13" customFormat="1" ht="115.15">
      <c r="A19" s="12" t="s">
        <v>246</v>
      </c>
      <c r="B19" s="12" t="s">
        <v>247</v>
      </c>
      <c r="C19" s="12" t="s">
        <v>408</v>
      </c>
      <c r="D19" s="12" t="s">
        <v>314</v>
      </c>
      <c r="E19" s="12" t="s">
        <v>413</v>
      </c>
      <c r="F19" s="12" t="s">
        <v>414</v>
      </c>
      <c r="G19" s="12" t="s">
        <v>415</v>
      </c>
      <c r="H19" s="12" t="s">
        <v>340</v>
      </c>
      <c r="I19" s="12" t="s">
        <v>416</v>
      </c>
      <c r="J19" s="12" t="s">
        <v>340</v>
      </c>
      <c r="K19" s="12" t="s">
        <v>417</v>
      </c>
      <c r="L19" s="22"/>
    </row>
    <row r="20" spans="1:12" s="17" customFormat="1" ht="220.5" customHeight="1">
      <c r="A20" s="12" t="s">
        <v>294</v>
      </c>
      <c r="B20" s="12" t="s">
        <v>256</v>
      </c>
      <c r="C20" s="12" t="s">
        <v>408</v>
      </c>
      <c r="D20" s="12" t="s">
        <v>314</v>
      </c>
      <c r="E20" s="12" t="s">
        <v>418</v>
      </c>
      <c r="F20" s="12" t="s">
        <v>419</v>
      </c>
      <c r="G20" s="12" t="s">
        <v>420</v>
      </c>
      <c r="H20" s="12" t="s">
        <v>421</v>
      </c>
      <c r="I20" s="12" t="s">
        <v>340</v>
      </c>
      <c r="J20" s="12" t="s">
        <v>340</v>
      </c>
      <c r="K20" s="12" t="s">
        <v>422</v>
      </c>
      <c r="L20" s="22"/>
    </row>
    <row r="21" spans="1:12" s="17" customFormat="1" ht="227.25" customHeight="1">
      <c r="A21" s="12" t="s">
        <v>260</v>
      </c>
      <c r="B21" s="12" t="s">
        <v>423</v>
      </c>
      <c r="C21" s="12" t="s">
        <v>408</v>
      </c>
      <c r="D21" s="12" t="s">
        <v>314</v>
      </c>
      <c r="E21" s="12" t="s">
        <v>424</v>
      </c>
      <c r="F21" s="12" t="s">
        <v>425</v>
      </c>
      <c r="G21" s="12" t="s">
        <v>426</v>
      </c>
      <c r="H21" s="12" t="s">
        <v>427</v>
      </c>
      <c r="I21" s="12" t="s">
        <v>428</v>
      </c>
      <c r="J21" s="12" t="s">
        <v>429</v>
      </c>
      <c r="K21" s="12" t="s">
        <v>430</v>
      </c>
      <c r="L21" s="22"/>
    </row>
    <row r="22" spans="1:12" s="17" customFormat="1" ht="144">
      <c r="A22" s="12" t="s">
        <v>265</v>
      </c>
      <c r="B22" s="12" t="s">
        <v>431</v>
      </c>
      <c r="C22" s="12" t="s">
        <v>408</v>
      </c>
      <c r="D22" s="12" t="s">
        <v>314</v>
      </c>
      <c r="E22" s="12" t="s">
        <v>432</v>
      </c>
      <c r="F22" s="12" t="s">
        <v>433</v>
      </c>
      <c r="G22" s="12" t="s">
        <v>434</v>
      </c>
      <c r="H22" s="12" t="s">
        <v>435</v>
      </c>
      <c r="I22" s="12" t="s">
        <v>340</v>
      </c>
      <c r="J22" s="21" t="s">
        <v>436</v>
      </c>
      <c r="K22" s="12" t="s">
        <v>333</v>
      </c>
      <c r="L22" s="22"/>
    </row>
    <row r="23" spans="1:12" s="13" customFormat="1" ht="115.15">
      <c r="A23" s="12" t="s">
        <v>270</v>
      </c>
      <c r="B23" s="12" t="s">
        <v>437</v>
      </c>
      <c r="C23" s="12" t="s">
        <v>408</v>
      </c>
      <c r="D23" s="12" t="s">
        <v>314</v>
      </c>
      <c r="E23" s="12" t="s">
        <v>438</v>
      </c>
      <c r="F23" s="12" t="s">
        <v>439</v>
      </c>
      <c r="G23" s="12" t="s">
        <v>440</v>
      </c>
      <c r="H23" s="12" t="s">
        <v>441</v>
      </c>
      <c r="I23" s="12" t="s">
        <v>340</v>
      </c>
      <c r="J23" s="12" t="s">
        <v>442</v>
      </c>
      <c r="K23" s="12" t="s">
        <v>377</v>
      </c>
      <c r="L23" s="22"/>
    </row>
    <row r="24" spans="1:12" s="16" customFormat="1">
      <c r="A24" s="15" t="s">
        <v>443</v>
      </c>
      <c r="B24" s="15" t="s">
        <v>277</v>
      </c>
      <c r="C24" s="15" t="s">
        <v>408</v>
      </c>
      <c r="D24" s="15" t="s">
        <v>444</v>
      </c>
      <c r="E24" s="15"/>
      <c r="F24" s="15"/>
      <c r="G24" s="15"/>
      <c r="H24" s="15"/>
      <c r="I24" s="15"/>
      <c r="J24" s="15"/>
      <c r="K24" s="15"/>
      <c r="L24" s="22"/>
    </row>
    <row r="25" spans="1:12" s="14" customFormat="1" ht="237.75" customHeight="1">
      <c r="A25" s="12" t="s">
        <v>114</v>
      </c>
      <c r="B25" s="12" t="s">
        <v>445</v>
      </c>
      <c r="C25" s="12" t="s">
        <v>408</v>
      </c>
      <c r="D25" s="12" t="s">
        <v>314</v>
      </c>
      <c r="E25" s="12" t="s">
        <v>446</v>
      </c>
      <c r="F25" s="12" t="s">
        <v>340</v>
      </c>
      <c r="G25" s="12" t="s">
        <v>447</v>
      </c>
      <c r="H25" s="12" t="s">
        <v>448</v>
      </c>
      <c r="I25" s="12" t="s">
        <v>340</v>
      </c>
      <c r="J25" s="12" t="s">
        <v>371</v>
      </c>
      <c r="K25" s="12" t="s">
        <v>390</v>
      </c>
      <c r="L25" s="22"/>
    </row>
    <row r="26" spans="1:12" s="14" customFormat="1" ht="47.25" customHeight="1">
      <c r="A26" s="12" t="s">
        <v>120</v>
      </c>
      <c r="B26" s="12" t="s">
        <v>121</v>
      </c>
      <c r="C26" s="12" t="s">
        <v>408</v>
      </c>
      <c r="D26" s="12" t="s">
        <v>314</v>
      </c>
      <c r="E26" s="12" t="s">
        <v>449</v>
      </c>
      <c r="F26" s="12" t="s">
        <v>340</v>
      </c>
      <c r="G26" s="12" t="s">
        <v>450</v>
      </c>
      <c r="H26" s="12" t="s">
        <v>448</v>
      </c>
      <c r="I26" s="12" t="s">
        <v>340</v>
      </c>
      <c r="J26" s="12" t="s">
        <v>371</v>
      </c>
      <c r="K26" s="12" t="s">
        <v>390</v>
      </c>
      <c r="L26" s="22"/>
    </row>
    <row r="27" spans="1:12" s="14" customFormat="1" ht="154.5" customHeight="1">
      <c r="A27" s="12" t="s">
        <v>125</v>
      </c>
      <c r="B27" s="12" t="s">
        <v>451</v>
      </c>
      <c r="C27" s="12" t="s">
        <v>408</v>
      </c>
      <c r="D27" s="12" t="s">
        <v>314</v>
      </c>
      <c r="E27" s="12" t="s">
        <v>452</v>
      </c>
      <c r="F27" s="12" t="s">
        <v>340</v>
      </c>
      <c r="G27" s="12" t="s">
        <v>453</v>
      </c>
      <c r="H27" s="12" t="s">
        <v>448</v>
      </c>
      <c r="I27" s="12" t="s">
        <v>340</v>
      </c>
      <c r="J27" s="12" t="s">
        <v>371</v>
      </c>
      <c r="K27" s="12" t="s">
        <v>390</v>
      </c>
      <c r="L27" s="22"/>
    </row>
    <row r="28" spans="1:12" s="14" customFormat="1" ht="84" customHeight="1">
      <c r="A28" s="12" t="s">
        <v>128</v>
      </c>
      <c r="B28" s="12" t="s">
        <v>454</v>
      </c>
      <c r="C28" s="12" t="s">
        <v>408</v>
      </c>
      <c r="D28" s="12" t="s">
        <v>314</v>
      </c>
      <c r="E28" s="12" t="s">
        <v>455</v>
      </c>
      <c r="F28" s="12" t="s">
        <v>340</v>
      </c>
      <c r="G28" s="12" t="s">
        <v>456</v>
      </c>
      <c r="H28" s="12" t="s">
        <v>448</v>
      </c>
      <c r="I28" s="12" t="s">
        <v>340</v>
      </c>
      <c r="J28" s="12" t="s">
        <v>371</v>
      </c>
      <c r="K28" s="12" t="s">
        <v>390</v>
      </c>
      <c r="L28" s="22"/>
    </row>
    <row r="29" spans="1:12" s="17" customFormat="1" ht="115.15">
      <c r="A29" s="12" t="s">
        <v>170</v>
      </c>
      <c r="B29" s="12" t="s">
        <v>457</v>
      </c>
      <c r="C29" s="12" t="s">
        <v>408</v>
      </c>
      <c r="D29" s="12" t="s">
        <v>314</v>
      </c>
      <c r="E29" s="12" t="s">
        <v>458</v>
      </c>
      <c r="F29" s="12" t="s">
        <v>459</v>
      </c>
      <c r="G29" s="12" t="s">
        <v>460</v>
      </c>
      <c r="H29" s="12" t="s">
        <v>340</v>
      </c>
      <c r="I29" s="12" t="s">
        <v>461</v>
      </c>
      <c r="J29" s="12" t="s">
        <v>340</v>
      </c>
      <c r="K29" s="12" t="s">
        <v>422</v>
      </c>
      <c r="L29" s="22"/>
    </row>
    <row r="30" spans="1:12" s="13" customFormat="1" ht="158.25" customHeight="1">
      <c r="A30" s="12" t="s">
        <v>186</v>
      </c>
      <c r="B30" s="12" t="s">
        <v>462</v>
      </c>
      <c r="C30" s="12" t="s">
        <v>408</v>
      </c>
      <c r="D30" s="12" t="s">
        <v>314</v>
      </c>
      <c r="E30" s="12" t="s">
        <v>463</v>
      </c>
      <c r="F30" s="12" t="s">
        <v>464</v>
      </c>
      <c r="G30" s="12" t="s">
        <v>465</v>
      </c>
      <c r="H30" s="12" t="s">
        <v>466</v>
      </c>
      <c r="I30" s="23" t="s">
        <v>467</v>
      </c>
      <c r="J30" s="12" t="s">
        <v>371</v>
      </c>
      <c r="K30" s="12" t="s">
        <v>377</v>
      </c>
      <c r="L30" s="22"/>
    </row>
    <row r="31" spans="1:12" s="17" customFormat="1" ht="201" customHeight="1">
      <c r="A31" s="12" t="s">
        <v>191</v>
      </c>
      <c r="B31" s="12" t="s">
        <v>468</v>
      </c>
      <c r="C31" s="12" t="s">
        <v>408</v>
      </c>
      <c r="D31" s="12" t="s">
        <v>314</v>
      </c>
      <c r="E31" s="12" t="s">
        <v>469</v>
      </c>
      <c r="F31" s="12" t="s">
        <v>470</v>
      </c>
      <c r="G31" s="12" t="s">
        <v>471</v>
      </c>
      <c r="H31" s="12" t="s">
        <v>340</v>
      </c>
      <c r="I31" s="24" t="s">
        <v>472</v>
      </c>
      <c r="J31" s="12" t="s">
        <v>473</v>
      </c>
      <c r="K31" s="12" t="s">
        <v>422</v>
      </c>
      <c r="L31" s="22"/>
    </row>
    <row r="32" spans="1:12" s="17" customFormat="1" ht="291.75" customHeight="1">
      <c r="A32" s="12" t="s">
        <v>474</v>
      </c>
      <c r="B32" s="12" t="s">
        <v>196</v>
      </c>
      <c r="C32" s="12" t="s">
        <v>408</v>
      </c>
      <c r="D32" s="12" t="s">
        <v>371</v>
      </c>
      <c r="E32" s="12" t="s">
        <v>475</v>
      </c>
      <c r="F32" s="12" t="s">
        <v>476</v>
      </c>
      <c r="G32" s="12" t="s">
        <v>477</v>
      </c>
      <c r="H32" s="12" t="s">
        <v>478</v>
      </c>
      <c r="I32" s="12" t="s">
        <v>479</v>
      </c>
      <c r="J32" s="12" t="s">
        <v>480</v>
      </c>
      <c r="K32" s="12" t="s">
        <v>390</v>
      </c>
      <c r="L32" s="22"/>
    </row>
    <row r="33" spans="1:12" s="13" customFormat="1" ht="115.15">
      <c r="A33" s="12" t="s">
        <v>218</v>
      </c>
      <c r="B33" s="12" t="s">
        <v>481</v>
      </c>
      <c r="C33" s="12" t="s">
        <v>408</v>
      </c>
      <c r="D33" s="12" t="s">
        <v>314</v>
      </c>
      <c r="E33" s="12" t="s">
        <v>482</v>
      </c>
      <c r="F33" s="12" t="s">
        <v>483</v>
      </c>
      <c r="G33" s="12" t="s">
        <v>484</v>
      </c>
      <c r="H33" s="12" t="s">
        <v>340</v>
      </c>
      <c r="I33" s="12" t="s">
        <v>485</v>
      </c>
      <c r="J33" s="12" t="s">
        <v>340</v>
      </c>
      <c r="K33" s="12" t="s">
        <v>486</v>
      </c>
      <c r="L33" s="22"/>
    </row>
    <row r="34" spans="1:12"/>
    <row r="35" spans="1:12"/>
  </sheetData>
  <autoFilter ref="A1:L1" xr:uid="{00000000-0001-0000-0000-000000000000}"/>
  <hyperlinks>
    <hyperlink ref="J12" r:id="rId1" xr:uid="{80FCF055-3E71-4C83-88C8-BDBC90D61D9C}"/>
    <hyperlink ref="J13" r:id="rId2" xr:uid="{4066C11B-CBF4-4448-B7EA-BEF3F53462E0}"/>
    <hyperlink ref="J14" r:id="rId3" xr:uid="{333B88C3-3998-4356-9816-228CD92752C0}"/>
    <hyperlink ref="J15" r:id="rId4" xr:uid="{3F17D686-4257-4C2B-A483-C38AECB7B971}"/>
    <hyperlink ref="J22" r:id="rId5" xr:uid="{22089E1E-E18A-45D6-A250-F265525C6E3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4FAD3-B302-4C1F-88CF-4979117F7818}">
  <sheetPr filterMode="1"/>
  <dimension ref="A1:N159"/>
  <sheetViews>
    <sheetView workbookViewId="0">
      <pane xSplit="2" ySplit="1" topLeftCell="C35" activePane="bottomRight" state="frozen"/>
      <selection pane="bottomRight" activeCell="G46" sqref="G46"/>
      <selection pane="bottomLeft"/>
      <selection pane="topRight"/>
    </sheetView>
  </sheetViews>
  <sheetFormatPr defaultColWidth="8.85546875" defaultRowHeight="39.75" customHeight="1" zeroHeight="1"/>
  <cols>
    <col min="1" max="1" width="20.28515625" style="54" bestFit="1" customWidth="1"/>
    <col min="2" max="3" width="25.42578125" style="54" customWidth="1"/>
    <col min="4" max="4" width="38.28515625" style="54" customWidth="1"/>
    <col min="5" max="5" width="23.85546875" style="54" customWidth="1"/>
    <col min="6" max="6" width="19.7109375" style="54" customWidth="1"/>
    <col min="7" max="7" width="17.42578125" style="54" customWidth="1"/>
    <col min="8" max="8" width="14.28515625" style="85" customWidth="1"/>
    <col min="9" max="9" width="14.28515625" style="86" customWidth="1"/>
    <col min="10" max="10" width="14.28515625" style="87" customWidth="1"/>
    <col min="11" max="13" width="8.85546875" style="54"/>
    <col min="14" max="14" width="20.85546875" style="54" customWidth="1"/>
    <col min="15" max="16384" width="8.85546875" style="54"/>
  </cols>
  <sheetData>
    <row r="1" spans="1:14" ht="22.5" customHeight="1">
      <c r="A1" s="1" t="s">
        <v>487</v>
      </c>
      <c r="B1" s="1" t="s">
        <v>55</v>
      </c>
      <c r="C1" s="1" t="s">
        <v>488</v>
      </c>
      <c r="D1" s="1" t="s">
        <v>489</v>
      </c>
      <c r="E1" s="1" t="s">
        <v>490</v>
      </c>
      <c r="F1" s="1" t="s">
        <v>491</v>
      </c>
      <c r="G1" s="1" t="s">
        <v>492</v>
      </c>
      <c r="H1" s="141" t="s">
        <v>493</v>
      </c>
      <c r="I1" s="141"/>
      <c r="J1" s="141"/>
      <c r="N1" s="54" t="s">
        <v>494</v>
      </c>
    </row>
    <row r="2" spans="1:14" ht="39.75" customHeight="1">
      <c r="A2" s="54" t="s">
        <v>58</v>
      </c>
      <c r="B2" s="54" t="s">
        <v>59</v>
      </c>
      <c r="C2" s="54" t="s">
        <v>495</v>
      </c>
      <c r="D2" s="54" t="s">
        <v>496</v>
      </c>
      <c r="E2" s="54" t="s">
        <v>21</v>
      </c>
      <c r="F2" s="54" t="s">
        <v>24</v>
      </c>
      <c r="G2" s="54" t="s">
        <v>497</v>
      </c>
      <c r="H2" s="93">
        <v>0</v>
      </c>
      <c r="I2" s="83">
        <v>0</v>
      </c>
      <c r="J2" s="84" t="s">
        <v>498</v>
      </c>
      <c r="N2" s="54" t="s">
        <v>499</v>
      </c>
    </row>
    <row r="3" spans="1:14" ht="39.75" customHeight="1">
      <c r="A3" s="54" t="s">
        <v>58</v>
      </c>
      <c r="B3" s="54" t="s">
        <v>59</v>
      </c>
      <c r="C3" s="54" t="s">
        <v>495</v>
      </c>
      <c r="D3" s="54" t="s">
        <v>500</v>
      </c>
      <c r="E3" s="54" t="s">
        <v>21</v>
      </c>
      <c r="F3" s="54" t="s">
        <v>24</v>
      </c>
      <c r="G3" s="54" t="s">
        <v>497</v>
      </c>
      <c r="H3" s="93">
        <v>0</v>
      </c>
      <c r="I3" s="83">
        <v>0</v>
      </c>
      <c r="J3" s="84" t="s">
        <v>498</v>
      </c>
      <c r="N3" s="54" t="s">
        <v>497</v>
      </c>
    </row>
    <row r="4" spans="1:14" ht="39.75" customHeight="1">
      <c r="A4" s="54" t="s">
        <v>58</v>
      </c>
      <c r="B4" s="54" t="s">
        <v>59</v>
      </c>
      <c r="C4" s="54" t="s">
        <v>495</v>
      </c>
      <c r="D4" s="54" t="s">
        <v>501</v>
      </c>
      <c r="E4" s="54" t="s">
        <v>21</v>
      </c>
      <c r="F4" s="54" t="s">
        <v>24</v>
      </c>
      <c r="G4" s="54" t="s">
        <v>497</v>
      </c>
      <c r="H4" s="93">
        <v>0</v>
      </c>
      <c r="I4" s="83">
        <v>0</v>
      </c>
      <c r="J4" s="84" t="s">
        <v>498</v>
      </c>
      <c r="N4" s="54" t="s">
        <v>502</v>
      </c>
    </row>
    <row r="5" spans="1:14" ht="39.75" customHeight="1">
      <c r="A5" s="54" t="s">
        <v>58</v>
      </c>
      <c r="B5" s="54" t="s">
        <v>59</v>
      </c>
      <c r="C5" s="54" t="s">
        <v>495</v>
      </c>
      <c r="D5" s="54" t="s">
        <v>63</v>
      </c>
      <c r="E5" s="54" t="s">
        <v>21</v>
      </c>
      <c r="F5" s="54" t="s">
        <v>25</v>
      </c>
      <c r="G5" s="54" t="s">
        <v>497</v>
      </c>
      <c r="H5" s="93" t="s">
        <v>503</v>
      </c>
      <c r="I5" s="83" t="s">
        <v>503</v>
      </c>
      <c r="J5" s="84" t="s">
        <v>503</v>
      </c>
    </row>
    <row r="6" spans="1:14" ht="39.75" customHeight="1">
      <c r="A6" s="54" t="s">
        <v>58</v>
      </c>
      <c r="B6" s="54" t="s">
        <v>59</v>
      </c>
      <c r="C6" s="54" t="s">
        <v>495</v>
      </c>
      <c r="D6" s="54" t="s">
        <v>64</v>
      </c>
      <c r="E6" s="54" t="s">
        <v>53</v>
      </c>
      <c r="F6" s="54" t="s">
        <v>504</v>
      </c>
      <c r="G6" s="54" t="s">
        <v>502</v>
      </c>
      <c r="H6" s="97">
        <v>0.75</v>
      </c>
      <c r="I6" s="83" t="s">
        <v>505</v>
      </c>
      <c r="J6" s="84" t="s">
        <v>505</v>
      </c>
    </row>
    <row r="7" spans="1:14" ht="39.75" customHeight="1">
      <c r="A7" s="54" t="s">
        <v>65</v>
      </c>
      <c r="B7" s="54" t="s">
        <v>66</v>
      </c>
      <c r="C7" s="54" t="s">
        <v>495</v>
      </c>
      <c r="D7" s="54" t="s">
        <v>506</v>
      </c>
      <c r="E7" s="54" t="s">
        <v>21</v>
      </c>
      <c r="F7" s="54" t="s">
        <v>23</v>
      </c>
      <c r="G7" s="54" t="s">
        <v>497</v>
      </c>
      <c r="H7" s="85" t="s">
        <v>507</v>
      </c>
      <c r="I7" s="86" t="s">
        <v>508</v>
      </c>
      <c r="J7" s="87" t="s">
        <v>509</v>
      </c>
    </row>
    <row r="8" spans="1:14" ht="39.75" customHeight="1">
      <c r="A8" s="98" t="s">
        <v>65</v>
      </c>
      <c r="B8" s="98" t="s">
        <v>66</v>
      </c>
      <c r="C8" s="98" t="s">
        <v>495</v>
      </c>
      <c r="D8" s="98" t="s">
        <v>510</v>
      </c>
      <c r="E8" s="98" t="s">
        <v>21</v>
      </c>
      <c r="F8" s="98" t="s">
        <v>23</v>
      </c>
      <c r="G8" s="98" t="s">
        <v>497</v>
      </c>
      <c r="H8" s="99"/>
      <c r="I8" s="99"/>
      <c r="J8" s="99"/>
    </row>
    <row r="9" spans="1:14" ht="39.75" customHeight="1">
      <c r="A9" s="94" t="s">
        <v>65</v>
      </c>
      <c r="B9" s="94" t="s">
        <v>66</v>
      </c>
      <c r="C9" s="94" t="s">
        <v>495</v>
      </c>
      <c r="D9" s="94" t="s">
        <v>511</v>
      </c>
      <c r="E9" s="94" t="s">
        <v>21</v>
      </c>
      <c r="F9" s="94" t="s">
        <v>24</v>
      </c>
      <c r="G9" s="94" t="s">
        <v>497</v>
      </c>
      <c r="H9" s="95"/>
      <c r="I9" s="95"/>
      <c r="J9" s="95"/>
    </row>
    <row r="10" spans="1:14" ht="39.75" customHeight="1">
      <c r="A10" s="94" t="s">
        <v>65</v>
      </c>
      <c r="B10" s="94" t="s">
        <v>66</v>
      </c>
      <c r="C10" s="94" t="s">
        <v>495</v>
      </c>
      <c r="D10" s="94" t="s">
        <v>512</v>
      </c>
      <c r="E10" s="94" t="s">
        <v>21</v>
      </c>
      <c r="F10" s="94" t="s">
        <v>24</v>
      </c>
      <c r="G10" s="94" t="s">
        <v>499</v>
      </c>
      <c r="H10" s="95"/>
      <c r="I10" s="95"/>
      <c r="J10" s="95"/>
    </row>
    <row r="11" spans="1:14" ht="39.75" customHeight="1">
      <c r="A11" s="54" t="s">
        <v>70</v>
      </c>
      <c r="B11" s="54" t="s">
        <v>71</v>
      </c>
      <c r="C11" s="54" t="s">
        <v>495</v>
      </c>
      <c r="D11" s="54" t="s">
        <v>513</v>
      </c>
      <c r="E11" s="54" t="s">
        <v>21</v>
      </c>
      <c r="F11" s="54" t="s">
        <v>23</v>
      </c>
      <c r="G11" s="54" t="s">
        <v>497</v>
      </c>
      <c r="H11" s="85" t="s">
        <v>507</v>
      </c>
      <c r="I11" s="86" t="s">
        <v>508</v>
      </c>
      <c r="J11" s="87" t="s">
        <v>509</v>
      </c>
    </row>
    <row r="12" spans="1:14" ht="39.75" customHeight="1">
      <c r="A12" s="54" t="s">
        <v>70</v>
      </c>
      <c r="B12" s="54" t="s">
        <v>71</v>
      </c>
      <c r="C12" s="54" t="s">
        <v>495</v>
      </c>
      <c r="D12" s="54" t="s">
        <v>514</v>
      </c>
      <c r="E12" s="54" t="s">
        <v>21</v>
      </c>
      <c r="F12" s="54" t="s">
        <v>23</v>
      </c>
      <c r="G12" s="54" t="s">
        <v>499</v>
      </c>
      <c r="H12" s="85" t="s">
        <v>417</v>
      </c>
      <c r="I12" s="86" t="s">
        <v>417</v>
      </c>
      <c r="J12" s="87" t="s">
        <v>417</v>
      </c>
    </row>
    <row r="13" spans="1:14" ht="39.75" customHeight="1">
      <c r="A13" s="54" t="s">
        <v>70</v>
      </c>
      <c r="B13" s="54" t="s">
        <v>71</v>
      </c>
      <c r="C13" s="54" t="s">
        <v>495</v>
      </c>
      <c r="D13" s="54" t="s">
        <v>74</v>
      </c>
      <c r="E13" s="54" t="s">
        <v>21</v>
      </c>
      <c r="F13" s="54" t="s">
        <v>24</v>
      </c>
      <c r="G13" s="54" t="s">
        <v>497</v>
      </c>
      <c r="H13" s="91">
        <v>0.05</v>
      </c>
      <c r="I13" s="96">
        <v>0.15</v>
      </c>
      <c r="J13" s="90">
        <v>0.25</v>
      </c>
    </row>
    <row r="14" spans="1:14" ht="39.75" customHeight="1">
      <c r="A14" s="54" t="s">
        <v>79</v>
      </c>
      <c r="B14" s="54" t="s">
        <v>80</v>
      </c>
      <c r="C14" s="54" t="s">
        <v>495</v>
      </c>
      <c r="D14" s="54" t="s">
        <v>515</v>
      </c>
      <c r="E14" s="54" t="s">
        <v>21</v>
      </c>
      <c r="F14" s="54" t="s">
        <v>23</v>
      </c>
      <c r="G14" s="54" t="s">
        <v>497</v>
      </c>
      <c r="H14" s="85" t="s">
        <v>507</v>
      </c>
      <c r="I14" s="86" t="s">
        <v>508</v>
      </c>
      <c r="J14" s="87" t="s">
        <v>509</v>
      </c>
    </row>
    <row r="15" spans="1:14" ht="39.75" customHeight="1">
      <c r="A15" s="54" t="s">
        <v>79</v>
      </c>
      <c r="B15" s="54" t="s">
        <v>80</v>
      </c>
      <c r="C15" s="54" t="s">
        <v>495</v>
      </c>
      <c r="D15" s="54" t="s">
        <v>516</v>
      </c>
      <c r="E15" s="54" t="s">
        <v>21</v>
      </c>
      <c r="F15" s="54" t="s">
        <v>23</v>
      </c>
      <c r="G15" s="54" t="s">
        <v>497</v>
      </c>
      <c r="H15" s="85" t="s">
        <v>517</v>
      </c>
      <c r="I15" s="86" t="s">
        <v>518</v>
      </c>
      <c r="J15" s="87" t="s">
        <v>519</v>
      </c>
    </row>
    <row r="16" spans="1:14" ht="39.75" customHeight="1">
      <c r="A16" s="54" t="s">
        <v>79</v>
      </c>
      <c r="B16" s="54" t="s">
        <v>80</v>
      </c>
      <c r="C16" s="54" t="s">
        <v>495</v>
      </c>
      <c r="D16" s="54" t="s">
        <v>520</v>
      </c>
      <c r="E16" s="54" t="s">
        <v>21</v>
      </c>
      <c r="F16" s="54" t="s">
        <v>24</v>
      </c>
      <c r="G16" s="54" t="s">
        <v>497</v>
      </c>
      <c r="H16" s="93" t="s">
        <v>505</v>
      </c>
      <c r="I16" s="83" t="s">
        <v>505</v>
      </c>
      <c r="J16" s="84" t="s">
        <v>505</v>
      </c>
    </row>
    <row r="17" spans="1:10" ht="39.75" customHeight="1">
      <c r="A17" s="54" t="s">
        <v>79</v>
      </c>
      <c r="B17" s="54" t="s">
        <v>80</v>
      </c>
      <c r="C17" s="54" t="s">
        <v>495</v>
      </c>
      <c r="D17" s="54" t="s">
        <v>521</v>
      </c>
      <c r="E17" s="54" t="s">
        <v>21</v>
      </c>
      <c r="F17" s="54" t="s">
        <v>24</v>
      </c>
      <c r="G17" s="54" t="s">
        <v>497</v>
      </c>
      <c r="H17" s="93" t="s">
        <v>505</v>
      </c>
      <c r="I17" s="83" t="s">
        <v>505</v>
      </c>
      <c r="J17" s="84" t="s">
        <v>505</v>
      </c>
    </row>
    <row r="18" spans="1:10" ht="39.75" customHeight="1">
      <c r="A18" s="54" t="s">
        <v>75</v>
      </c>
      <c r="B18" s="54" t="s">
        <v>76</v>
      </c>
      <c r="C18" s="54" t="s">
        <v>495</v>
      </c>
      <c r="D18" s="54" t="s">
        <v>522</v>
      </c>
      <c r="E18" s="54" t="s">
        <v>21</v>
      </c>
      <c r="F18" s="54" t="s">
        <v>24</v>
      </c>
      <c r="G18" s="54" t="s">
        <v>497</v>
      </c>
      <c r="H18" s="93" t="s">
        <v>505</v>
      </c>
      <c r="I18" s="83" t="s">
        <v>505</v>
      </c>
      <c r="J18" s="84" t="s">
        <v>505</v>
      </c>
    </row>
    <row r="19" spans="1:10" ht="39.75" customHeight="1">
      <c r="A19" s="54" t="s">
        <v>75</v>
      </c>
      <c r="B19" s="54" t="s">
        <v>76</v>
      </c>
      <c r="C19" s="54" t="s">
        <v>495</v>
      </c>
      <c r="D19" s="54" t="s">
        <v>523</v>
      </c>
      <c r="E19" s="54" t="s">
        <v>21</v>
      </c>
      <c r="F19" s="54" t="s">
        <v>24</v>
      </c>
      <c r="G19" s="54" t="s">
        <v>499</v>
      </c>
      <c r="H19" s="85" t="s">
        <v>524</v>
      </c>
      <c r="I19" s="86" t="s">
        <v>524</v>
      </c>
      <c r="J19" s="87" t="s">
        <v>524</v>
      </c>
    </row>
    <row r="20" spans="1:10" ht="39.75" customHeight="1">
      <c r="A20" s="54" t="s">
        <v>75</v>
      </c>
      <c r="B20" s="54" t="s">
        <v>76</v>
      </c>
      <c r="C20" s="54" t="s">
        <v>495</v>
      </c>
      <c r="D20" s="54" t="s">
        <v>525</v>
      </c>
      <c r="E20" s="54" t="s">
        <v>21</v>
      </c>
      <c r="F20" s="54" t="s">
        <v>24</v>
      </c>
      <c r="G20" s="54" t="s">
        <v>499</v>
      </c>
      <c r="H20" s="85" t="s">
        <v>524</v>
      </c>
      <c r="I20" s="86" t="s">
        <v>524</v>
      </c>
      <c r="J20" s="87" t="s">
        <v>524</v>
      </c>
    </row>
    <row r="21" spans="1:10" ht="39.75" customHeight="1">
      <c r="A21" s="54" t="s">
        <v>85</v>
      </c>
      <c r="B21" s="54" t="s">
        <v>86</v>
      </c>
      <c r="C21" s="54" t="s">
        <v>495</v>
      </c>
      <c r="D21" s="54" t="s">
        <v>88</v>
      </c>
      <c r="E21" s="54" t="s">
        <v>21</v>
      </c>
      <c r="F21" s="54" t="s">
        <v>23</v>
      </c>
      <c r="G21" s="54" t="s">
        <v>497</v>
      </c>
      <c r="H21" s="85" t="s">
        <v>507</v>
      </c>
      <c r="I21" s="86" t="s">
        <v>508</v>
      </c>
      <c r="J21" s="87" t="s">
        <v>509</v>
      </c>
    </row>
    <row r="22" spans="1:10" ht="39.75" customHeight="1">
      <c r="A22" s="54" t="s">
        <v>85</v>
      </c>
      <c r="B22" s="54" t="s">
        <v>86</v>
      </c>
      <c r="C22" s="54" t="s">
        <v>495</v>
      </c>
      <c r="D22" s="54" t="s">
        <v>89</v>
      </c>
      <c r="E22" s="54" t="s">
        <v>21</v>
      </c>
      <c r="F22" s="54" t="s">
        <v>24</v>
      </c>
      <c r="G22" s="54" t="s">
        <v>497</v>
      </c>
      <c r="H22" s="91" t="s">
        <v>526</v>
      </c>
      <c r="I22" s="86" t="s">
        <v>527</v>
      </c>
      <c r="J22" s="87" t="s">
        <v>528</v>
      </c>
    </row>
    <row r="23" spans="1:10" ht="39.75" customHeight="1">
      <c r="A23" s="54" t="s">
        <v>90</v>
      </c>
      <c r="B23" s="54" t="s">
        <v>91</v>
      </c>
      <c r="C23" s="54" t="s">
        <v>495</v>
      </c>
      <c r="D23" s="54" t="s">
        <v>93</v>
      </c>
      <c r="E23" s="54" t="s">
        <v>21</v>
      </c>
      <c r="F23" s="54" t="s">
        <v>23</v>
      </c>
      <c r="G23" s="54" t="s">
        <v>497</v>
      </c>
      <c r="H23" s="85" t="s">
        <v>529</v>
      </c>
      <c r="I23" s="86" t="s">
        <v>530</v>
      </c>
      <c r="J23" s="87" t="s">
        <v>531</v>
      </c>
    </row>
    <row r="24" spans="1:10" ht="39.75" customHeight="1">
      <c r="A24" s="54" t="s">
        <v>201</v>
      </c>
      <c r="B24" s="54" t="s">
        <v>202</v>
      </c>
      <c r="C24" s="54" t="s">
        <v>532</v>
      </c>
      <c r="D24" s="54" t="s">
        <v>533</v>
      </c>
      <c r="E24" s="54" t="s">
        <v>21</v>
      </c>
      <c r="F24" s="54" t="s">
        <v>23</v>
      </c>
      <c r="G24" s="54" t="s">
        <v>502</v>
      </c>
      <c r="H24" s="85" t="s">
        <v>529</v>
      </c>
      <c r="I24" s="86" t="s">
        <v>530</v>
      </c>
      <c r="J24" s="87" t="s">
        <v>531</v>
      </c>
    </row>
    <row r="25" spans="1:10" ht="39.75" customHeight="1">
      <c r="A25" s="54" t="s">
        <v>201</v>
      </c>
      <c r="B25" s="54" t="s">
        <v>202</v>
      </c>
      <c r="C25" s="54" t="s">
        <v>532</v>
      </c>
      <c r="D25" s="54" t="s">
        <v>534</v>
      </c>
      <c r="E25" s="54" t="s">
        <v>21</v>
      </c>
      <c r="F25" s="54" t="s">
        <v>23</v>
      </c>
      <c r="G25" s="54" t="s">
        <v>502</v>
      </c>
      <c r="H25" s="85" t="s">
        <v>535</v>
      </c>
      <c r="I25" s="86" t="s">
        <v>536</v>
      </c>
      <c r="J25" s="87" t="s">
        <v>537</v>
      </c>
    </row>
    <row r="26" spans="1:10" ht="39.75" customHeight="1">
      <c r="A26" s="54" t="s">
        <v>201</v>
      </c>
      <c r="B26" s="54" t="s">
        <v>202</v>
      </c>
      <c r="C26" s="54" t="s">
        <v>532</v>
      </c>
      <c r="D26" s="54" t="s">
        <v>538</v>
      </c>
      <c r="E26" s="54" t="s">
        <v>21</v>
      </c>
      <c r="F26" s="54" t="s">
        <v>24</v>
      </c>
      <c r="G26" s="54" t="s">
        <v>502</v>
      </c>
      <c r="H26" s="85" t="s">
        <v>539</v>
      </c>
      <c r="I26" s="86" t="s">
        <v>540</v>
      </c>
      <c r="J26" s="87" t="s">
        <v>541</v>
      </c>
    </row>
    <row r="27" spans="1:10" ht="39.75" customHeight="1">
      <c r="A27" s="54" t="s">
        <v>201</v>
      </c>
      <c r="B27" s="54" t="s">
        <v>202</v>
      </c>
      <c r="C27" s="54" t="s">
        <v>532</v>
      </c>
      <c r="D27" s="54" t="s">
        <v>542</v>
      </c>
      <c r="E27" s="54" t="s">
        <v>21</v>
      </c>
      <c r="F27" s="54" t="s">
        <v>24</v>
      </c>
      <c r="G27" s="54" t="s">
        <v>502</v>
      </c>
      <c r="H27" s="85" t="s">
        <v>543</v>
      </c>
      <c r="I27" s="86" t="s">
        <v>544</v>
      </c>
      <c r="J27" s="87" t="s">
        <v>545</v>
      </c>
    </row>
    <row r="28" spans="1:10" ht="39.75" customHeight="1">
      <c r="A28" s="54" t="s">
        <v>201</v>
      </c>
      <c r="B28" s="54" t="s">
        <v>202</v>
      </c>
      <c r="C28" s="54" t="s">
        <v>532</v>
      </c>
      <c r="D28" s="54" t="s">
        <v>546</v>
      </c>
      <c r="E28" s="54" t="s">
        <v>21</v>
      </c>
      <c r="F28" s="54" t="s">
        <v>24</v>
      </c>
      <c r="G28" s="54" t="s">
        <v>502</v>
      </c>
      <c r="H28" s="85" t="s">
        <v>547</v>
      </c>
      <c r="I28" s="86" t="s">
        <v>540</v>
      </c>
      <c r="J28" s="87" t="s">
        <v>548</v>
      </c>
    </row>
    <row r="29" spans="1:10" ht="39.75" customHeight="1">
      <c r="A29" s="54" t="s">
        <v>201</v>
      </c>
      <c r="B29" s="54" t="s">
        <v>202</v>
      </c>
      <c r="C29" s="54" t="s">
        <v>532</v>
      </c>
      <c r="D29" s="54" t="s">
        <v>206</v>
      </c>
      <c r="E29" s="54" t="s">
        <v>21</v>
      </c>
      <c r="F29" s="54" t="s">
        <v>25</v>
      </c>
      <c r="G29" s="54" t="s">
        <v>497</v>
      </c>
      <c r="H29" s="85" t="s">
        <v>503</v>
      </c>
      <c r="I29" s="86" t="s">
        <v>503</v>
      </c>
      <c r="J29" s="87" t="s">
        <v>503</v>
      </c>
    </row>
    <row r="30" spans="1:10" ht="39.75" customHeight="1">
      <c r="A30" s="54" t="s">
        <v>201</v>
      </c>
      <c r="B30" s="54" t="s">
        <v>202</v>
      </c>
      <c r="C30" s="54" t="s">
        <v>532</v>
      </c>
      <c r="D30" s="54" t="s">
        <v>207</v>
      </c>
      <c r="E30" s="54" t="s">
        <v>53</v>
      </c>
      <c r="F30" s="54" t="s">
        <v>549</v>
      </c>
      <c r="G30" s="54" t="s">
        <v>502</v>
      </c>
      <c r="H30" s="85" t="s">
        <v>543</v>
      </c>
      <c r="I30" s="86" t="s">
        <v>544</v>
      </c>
      <c r="J30" s="87" t="s">
        <v>550</v>
      </c>
    </row>
    <row r="31" spans="1:10" ht="39.75" customHeight="1">
      <c r="A31" s="54" t="s">
        <v>201</v>
      </c>
      <c r="B31" s="54" t="s">
        <v>202</v>
      </c>
      <c r="C31" s="54" t="s">
        <v>532</v>
      </c>
      <c r="D31" s="54" t="s">
        <v>103</v>
      </c>
      <c r="E31" s="54" t="s">
        <v>53</v>
      </c>
      <c r="F31" s="54" t="s">
        <v>504</v>
      </c>
      <c r="G31" s="54" t="s">
        <v>502</v>
      </c>
      <c r="H31" s="85" t="s">
        <v>543</v>
      </c>
      <c r="I31" s="86" t="s">
        <v>544</v>
      </c>
      <c r="J31" s="87" t="s">
        <v>550</v>
      </c>
    </row>
    <row r="32" spans="1:10" ht="39.75" customHeight="1">
      <c r="A32" s="54" t="s">
        <v>208</v>
      </c>
      <c r="B32" s="54" t="s">
        <v>209</v>
      </c>
      <c r="C32" s="54" t="s">
        <v>532</v>
      </c>
      <c r="D32" s="54" t="s">
        <v>211</v>
      </c>
      <c r="E32" s="54" t="s">
        <v>21</v>
      </c>
      <c r="F32" s="54" t="s">
        <v>25</v>
      </c>
      <c r="G32" s="54" t="s">
        <v>497</v>
      </c>
      <c r="H32" s="85" t="s">
        <v>503</v>
      </c>
      <c r="I32" s="86" t="s">
        <v>503</v>
      </c>
      <c r="J32" s="87" t="s">
        <v>503</v>
      </c>
    </row>
    <row r="33" spans="1:10" ht="39.75" customHeight="1">
      <c r="A33" s="54" t="s">
        <v>208</v>
      </c>
      <c r="B33" s="54" t="s">
        <v>209</v>
      </c>
      <c r="C33" s="54" t="s">
        <v>532</v>
      </c>
      <c r="D33" s="54" t="s">
        <v>212</v>
      </c>
      <c r="E33" s="54" t="s">
        <v>53</v>
      </c>
      <c r="F33" s="54" t="s">
        <v>549</v>
      </c>
      <c r="G33" s="54" t="s">
        <v>502</v>
      </c>
      <c r="H33" s="85" t="s">
        <v>551</v>
      </c>
      <c r="I33" s="86" t="s">
        <v>552</v>
      </c>
      <c r="J33" s="90">
        <v>0.69</v>
      </c>
    </row>
    <row r="34" spans="1:10" ht="39.75" customHeight="1">
      <c r="A34" s="54" t="s">
        <v>213</v>
      </c>
      <c r="B34" s="54" t="s">
        <v>214</v>
      </c>
      <c r="C34" s="54" t="s">
        <v>532</v>
      </c>
      <c r="D34" s="54" t="s">
        <v>553</v>
      </c>
      <c r="E34" s="54" t="s">
        <v>21</v>
      </c>
      <c r="F34" s="54" t="s">
        <v>23</v>
      </c>
      <c r="G34" s="54" t="s">
        <v>502</v>
      </c>
      <c r="H34" s="85" t="s">
        <v>554</v>
      </c>
      <c r="I34" s="86" t="s">
        <v>555</v>
      </c>
      <c r="J34" s="87" t="s">
        <v>556</v>
      </c>
    </row>
    <row r="35" spans="1:10" ht="39.75" customHeight="1">
      <c r="A35" s="54" t="s">
        <v>213</v>
      </c>
      <c r="B35" s="54" t="s">
        <v>214</v>
      </c>
      <c r="C35" s="54" t="s">
        <v>532</v>
      </c>
      <c r="D35" s="54" t="s">
        <v>557</v>
      </c>
      <c r="E35" s="54" t="s">
        <v>21</v>
      </c>
      <c r="F35" s="54" t="s">
        <v>23</v>
      </c>
      <c r="G35" s="54" t="s">
        <v>502</v>
      </c>
      <c r="H35" s="85" t="s">
        <v>558</v>
      </c>
      <c r="I35" s="86" t="s">
        <v>559</v>
      </c>
      <c r="J35" s="87" t="s">
        <v>550</v>
      </c>
    </row>
    <row r="36" spans="1:10" ht="39.75" customHeight="1">
      <c r="A36" s="54" t="s">
        <v>213</v>
      </c>
      <c r="B36" s="54" t="s">
        <v>214</v>
      </c>
      <c r="C36" s="54" t="s">
        <v>532</v>
      </c>
      <c r="D36" s="54" t="s">
        <v>560</v>
      </c>
      <c r="E36" s="54" t="s">
        <v>21</v>
      </c>
      <c r="F36" s="54" t="s">
        <v>23</v>
      </c>
      <c r="G36" s="54" t="s">
        <v>502</v>
      </c>
      <c r="H36" s="85" t="s">
        <v>561</v>
      </c>
      <c r="I36" s="86" t="s">
        <v>562</v>
      </c>
      <c r="J36" s="87" t="s">
        <v>563</v>
      </c>
    </row>
    <row r="37" spans="1:10" ht="39.75" customHeight="1">
      <c r="A37" s="54" t="s">
        <v>213</v>
      </c>
      <c r="B37" s="54" t="s">
        <v>214</v>
      </c>
      <c r="C37" s="54" t="s">
        <v>532</v>
      </c>
      <c r="D37" s="54" t="s">
        <v>564</v>
      </c>
      <c r="E37" s="54" t="s">
        <v>21</v>
      </c>
      <c r="F37" s="54" t="s">
        <v>23</v>
      </c>
      <c r="G37" s="54" t="s">
        <v>502</v>
      </c>
      <c r="H37" s="85" t="s">
        <v>565</v>
      </c>
      <c r="I37" s="86" t="s">
        <v>566</v>
      </c>
      <c r="J37" s="87" t="s">
        <v>550</v>
      </c>
    </row>
    <row r="38" spans="1:10" ht="39.75" customHeight="1">
      <c r="A38" s="54" t="s">
        <v>213</v>
      </c>
      <c r="B38" s="54" t="s">
        <v>214</v>
      </c>
      <c r="C38" s="54" t="s">
        <v>532</v>
      </c>
      <c r="D38" s="54" t="s">
        <v>567</v>
      </c>
      <c r="E38" s="54" t="s">
        <v>21</v>
      </c>
      <c r="F38" s="54" t="s">
        <v>23</v>
      </c>
      <c r="G38" s="54" t="s">
        <v>502</v>
      </c>
      <c r="H38" s="85" t="s">
        <v>568</v>
      </c>
      <c r="I38" s="86" t="s">
        <v>569</v>
      </c>
      <c r="J38" s="87" t="s">
        <v>570</v>
      </c>
    </row>
    <row r="39" spans="1:10" ht="39.75" customHeight="1">
      <c r="A39" s="54" t="s">
        <v>213</v>
      </c>
      <c r="B39" s="54" t="s">
        <v>214</v>
      </c>
      <c r="C39" s="54" t="s">
        <v>532</v>
      </c>
      <c r="D39" s="54" t="s">
        <v>571</v>
      </c>
      <c r="E39" s="54" t="s">
        <v>21</v>
      </c>
      <c r="F39" s="54" t="s">
        <v>24</v>
      </c>
      <c r="G39" s="54" t="s">
        <v>502</v>
      </c>
      <c r="H39" s="91" t="s">
        <v>568</v>
      </c>
      <c r="I39" s="86" t="s">
        <v>572</v>
      </c>
      <c r="J39" s="87" t="s">
        <v>570</v>
      </c>
    </row>
    <row r="40" spans="1:10" ht="39.75" customHeight="1">
      <c r="A40" s="54" t="s">
        <v>213</v>
      </c>
      <c r="B40" s="54" t="s">
        <v>214</v>
      </c>
      <c r="C40" s="54" t="s">
        <v>532</v>
      </c>
      <c r="D40" s="54" t="s">
        <v>573</v>
      </c>
      <c r="E40" s="54" t="s">
        <v>21</v>
      </c>
      <c r="F40" s="54" t="s">
        <v>24</v>
      </c>
      <c r="G40" s="54" t="s">
        <v>502</v>
      </c>
      <c r="H40" s="91" t="s">
        <v>568</v>
      </c>
      <c r="I40" s="86" t="s">
        <v>572</v>
      </c>
      <c r="J40" s="87" t="s">
        <v>570</v>
      </c>
    </row>
    <row r="41" spans="1:10" ht="39.75" customHeight="1">
      <c r="A41" s="54" t="s">
        <v>213</v>
      </c>
      <c r="B41" s="54" t="s">
        <v>214</v>
      </c>
      <c r="C41" s="54" t="s">
        <v>532</v>
      </c>
      <c r="D41" s="54" t="s">
        <v>574</v>
      </c>
      <c r="E41" s="54" t="s">
        <v>21</v>
      </c>
      <c r="F41" s="54" t="s">
        <v>24</v>
      </c>
      <c r="G41" s="54" t="s">
        <v>502</v>
      </c>
      <c r="H41" s="85" t="s">
        <v>558</v>
      </c>
      <c r="I41" s="86" t="s">
        <v>559</v>
      </c>
      <c r="J41" s="87" t="s">
        <v>550</v>
      </c>
    </row>
    <row r="42" spans="1:10" ht="39.75" customHeight="1">
      <c r="A42" s="54" t="s">
        <v>218</v>
      </c>
      <c r="B42" s="54" t="s">
        <v>219</v>
      </c>
      <c r="C42" s="54" t="s">
        <v>532</v>
      </c>
      <c r="D42" s="54" t="s">
        <v>575</v>
      </c>
      <c r="E42" s="54" t="s">
        <v>21</v>
      </c>
      <c r="F42" s="54" t="s">
        <v>23</v>
      </c>
      <c r="G42" s="54" t="s">
        <v>499</v>
      </c>
      <c r="H42" s="85" t="s">
        <v>524</v>
      </c>
      <c r="I42" s="86" t="s">
        <v>524</v>
      </c>
      <c r="J42" s="87" t="s">
        <v>524</v>
      </c>
    </row>
    <row r="43" spans="1:10" ht="39.75" customHeight="1">
      <c r="A43" s="54" t="s">
        <v>218</v>
      </c>
      <c r="B43" s="54" t="s">
        <v>219</v>
      </c>
      <c r="C43" s="54" t="s">
        <v>532</v>
      </c>
      <c r="D43" s="54" t="s">
        <v>576</v>
      </c>
      <c r="E43" s="54" t="s">
        <v>21</v>
      </c>
      <c r="F43" s="54" t="s">
        <v>23</v>
      </c>
      <c r="G43" s="54" t="s">
        <v>502</v>
      </c>
    </row>
    <row r="44" spans="1:10" ht="39.75" customHeight="1">
      <c r="A44" s="54" t="s">
        <v>218</v>
      </c>
      <c r="B44" s="54" t="s">
        <v>219</v>
      </c>
      <c r="C44" s="54" t="s">
        <v>532</v>
      </c>
      <c r="D44" s="54" t="s">
        <v>577</v>
      </c>
      <c r="E44" s="54" t="s">
        <v>21</v>
      </c>
      <c r="F44" s="54" t="s">
        <v>24</v>
      </c>
      <c r="G44" s="54" t="s">
        <v>499</v>
      </c>
      <c r="H44" s="85" t="s">
        <v>524</v>
      </c>
      <c r="I44" s="86" t="s">
        <v>524</v>
      </c>
      <c r="J44" s="87" t="s">
        <v>524</v>
      </c>
    </row>
    <row r="45" spans="1:10" ht="39.75" customHeight="1">
      <c r="A45" s="54" t="s">
        <v>218</v>
      </c>
      <c r="B45" s="54" t="s">
        <v>219</v>
      </c>
      <c r="C45" s="54" t="s">
        <v>532</v>
      </c>
      <c r="D45" s="54" t="s">
        <v>578</v>
      </c>
      <c r="E45" s="54" t="s">
        <v>21</v>
      </c>
      <c r="F45" s="54" t="s">
        <v>24</v>
      </c>
      <c r="G45" s="54" t="s">
        <v>499</v>
      </c>
      <c r="H45" s="85" t="s">
        <v>524</v>
      </c>
      <c r="I45" s="86" t="s">
        <v>524</v>
      </c>
      <c r="J45" s="87" t="s">
        <v>524</v>
      </c>
    </row>
    <row r="46" spans="1:10" ht="39.75" customHeight="1">
      <c r="A46" s="54" t="s">
        <v>218</v>
      </c>
      <c r="B46" s="54" t="s">
        <v>219</v>
      </c>
      <c r="C46" s="54" t="s">
        <v>532</v>
      </c>
      <c r="D46" s="54" t="s">
        <v>579</v>
      </c>
      <c r="E46" s="54" t="s">
        <v>21</v>
      </c>
      <c r="F46" s="54" t="s">
        <v>24</v>
      </c>
      <c r="G46" s="54" t="s">
        <v>502</v>
      </c>
    </row>
    <row r="47" spans="1:10" ht="39.75" customHeight="1">
      <c r="A47" s="54" t="s">
        <v>218</v>
      </c>
      <c r="B47" s="54" t="s">
        <v>219</v>
      </c>
      <c r="C47" s="54" t="s">
        <v>532</v>
      </c>
      <c r="D47" s="54" t="s">
        <v>580</v>
      </c>
      <c r="E47" s="54" t="s">
        <v>21</v>
      </c>
      <c r="F47" s="54" t="s">
        <v>25</v>
      </c>
      <c r="G47" s="54" t="s">
        <v>497</v>
      </c>
      <c r="H47" s="85" t="s">
        <v>503</v>
      </c>
      <c r="I47" s="86" t="s">
        <v>503</v>
      </c>
      <c r="J47" s="87" t="s">
        <v>503</v>
      </c>
    </row>
    <row r="48" spans="1:10" ht="39.75" customHeight="1">
      <c r="A48" s="54" t="s">
        <v>218</v>
      </c>
      <c r="B48" s="54" t="s">
        <v>219</v>
      </c>
      <c r="C48" s="54" t="s">
        <v>532</v>
      </c>
      <c r="D48" s="54" t="s">
        <v>581</v>
      </c>
      <c r="E48" s="54" t="s">
        <v>21</v>
      </c>
      <c r="F48" s="54" t="s">
        <v>25</v>
      </c>
      <c r="G48" s="54" t="s">
        <v>497</v>
      </c>
      <c r="H48" s="85" t="s">
        <v>503</v>
      </c>
      <c r="I48" s="86" t="s">
        <v>503</v>
      </c>
      <c r="J48" s="87" t="s">
        <v>503</v>
      </c>
    </row>
    <row r="49" spans="1:10" ht="39.75" customHeight="1">
      <c r="A49" s="54" t="s">
        <v>224</v>
      </c>
      <c r="B49" s="54" t="s">
        <v>225</v>
      </c>
      <c r="C49" s="54" t="s">
        <v>532</v>
      </c>
      <c r="D49" s="54" t="s">
        <v>227</v>
      </c>
      <c r="E49" s="54" t="s">
        <v>21</v>
      </c>
      <c r="F49" s="54" t="s">
        <v>23</v>
      </c>
      <c r="G49" s="54" t="s">
        <v>499</v>
      </c>
      <c r="H49" s="85" t="s">
        <v>524</v>
      </c>
      <c r="I49" s="86" t="s">
        <v>524</v>
      </c>
      <c r="J49" s="87" t="s">
        <v>524</v>
      </c>
    </row>
    <row r="50" spans="1:10" ht="39.75" customHeight="1">
      <c r="A50" s="54" t="s">
        <v>224</v>
      </c>
      <c r="B50" s="54" t="s">
        <v>225</v>
      </c>
      <c r="C50" s="54" t="s">
        <v>532</v>
      </c>
      <c r="D50" s="54" t="s">
        <v>582</v>
      </c>
      <c r="E50" s="54" t="s">
        <v>21</v>
      </c>
      <c r="F50" s="54" t="s">
        <v>24</v>
      </c>
      <c r="G50" s="54" t="s">
        <v>499</v>
      </c>
      <c r="H50" s="85" t="s">
        <v>524</v>
      </c>
      <c r="I50" s="86" t="s">
        <v>524</v>
      </c>
      <c r="J50" s="87" t="s">
        <v>524</v>
      </c>
    </row>
    <row r="51" spans="1:10" ht="39.75" customHeight="1">
      <c r="A51" s="54" t="s">
        <v>224</v>
      </c>
      <c r="B51" s="54" t="s">
        <v>225</v>
      </c>
      <c r="C51" s="54" t="s">
        <v>532</v>
      </c>
      <c r="D51" s="54" t="s">
        <v>583</v>
      </c>
      <c r="E51" s="54" t="s">
        <v>21</v>
      </c>
      <c r="F51" s="54" t="s">
        <v>24</v>
      </c>
      <c r="G51" s="54" t="s">
        <v>499</v>
      </c>
      <c r="H51" s="85" t="s">
        <v>524</v>
      </c>
      <c r="I51" s="86" t="s">
        <v>524</v>
      </c>
      <c r="J51" s="87" t="s">
        <v>524</v>
      </c>
    </row>
    <row r="52" spans="1:10" ht="39.75" customHeight="1">
      <c r="A52" s="54" t="s">
        <v>229</v>
      </c>
      <c r="B52" s="54" t="s">
        <v>230</v>
      </c>
      <c r="C52" s="54" t="s">
        <v>532</v>
      </c>
      <c r="D52" s="54" t="s">
        <v>232</v>
      </c>
      <c r="E52" s="54" t="s">
        <v>21</v>
      </c>
      <c r="F52" s="54" t="s">
        <v>23</v>
      </c>
      <c r="G52" s="54" t="s">
        <v>502</v>
      </c>
      <c r="H52" s="85" t="s">
        <v>584</v>
      </c>
      <c r="I52" s="86" t="s">
        <v>585</v>
      </c>
      <c r="J52" s="87" t="s">
        <v>586</v>
      </c>
    </row>
    <row r="53" spans="1:10" ht="39.75" customHeight="1">
      <c r="A53" s="54" t="s">
        <v>229</v>
      </c>
      <c r="B53" s="54" t="s">
        <v>230</v>
      </c>
      <c r="C53" s="54" t="s">
        <v>532</v>
      </c>
      <c r="D53" s="54" t="s">
        <v>233</v>
      </c>
      <c r="E53" s="54" t="s">
        <v>21</v>
      </c>
      <c r="F53" s="54" t="s">
        <v>25</v>
      </c>
      <c r="G53" s="54" t="s">
        <v>497</v>
      </c>
      <c r="H53" s="85" t="s">
        <v>503</v>
      </c>
      <c r="I53" s="86" t="s">
        <v>503</v>
      </c>
      <c r="J53" s="87" t="s">
        <v>503</v>
      </c>
    </row>
    <row r="54" spans="1:10" ht="39.75" customHeight="1">
      <c r="A54" s="54" t="s">
        <v>229</v>
      </c>
      <c r="B54" s="54" t="s">
        <v>230</v>
      </c>
      <c r="C54" s="54" t="s">
        <v>532</v>
      </c>
      <c r="D54" s="54" t="s">
        <v>234</v>
      </c>
      <c r="E54" s="54" t="s">
        <v>53</v>
      </c>
      <c r="F54" s="54" t="s">
        <v>549</v>
      </c>
      <c r="G54" s="54" t="s">
        <v>502</v>
      </c>
      <c r="H54" s="85">
        <v>0</v>
      </c>
      <c r="I54" s="86">
        <v>0</v>
      </c>
      <c r="J54" s="87">
        <v>0</v>
      </c>
    </row>
    <row r="55" spans="1:10" ht="39.75" customHeight="1">
      <c r="A55" s="54" t="s">
        <v>235</v>
      </c>
      <c r="B55" s="54" t="s">
        <v>236</v>
      </c>
      <c r="C55" s="54" t="s">
        <v>532</v>
      </c>
      <c r="D55" s="54" t="s">
        <v>587</v>
      </c>
      <c r="E55" s="54" t="s">
        <v>21</v>
      </c>
      <c r="F55" s="54" t="s">
        <v>23</v>
      </c>
      <c r="G55" s="54" t="s">
        <v>502</v>
      </c>
      <c r="H55" s="91" t="s">
        <v>588</v>
      </c>
      <c r="I55" s="86" t="s">
        <v>589</v>
      </c>
      <c r="J55" s="87" t="s">
        <v>570</v>
      </c>
    </row>
    <row r="56" spans="1:10" ht="39.75" customHeight="1">
      <c r="A56" s="54" t="s">
        <v>235</v>
      </c>
      <c r="B56" s="54" t="s">
        <v>236</v>
      </c>
      <c r="C56" s="54" t="s">
        <v>532</v>
      </c>
      <c r="D56" s="54" t="s">
        <v>590</v>
      </c>
      <c r="E56" s="54" t="s">
        <v>21</v>
      </c>
      <c r="F56" s="54" t="s">
        <v>24</v>
      </c>
      <c r="G56" s="54" t="s">
        <v>502</v>
      </c>
      <c r="H56" s="91" t="s">
        <v>588</v>
      </c>
      <c r="I56" s="86" t="s">
        <v>559</v>
      </c>
      <c r="J56" s="87" t="s">
        <v>545</v>
      </c>
    </row>
    <row r="57" spans="1:10" ht="39.75" customHeight="1">
      <c r="A57" s="54" t="s">
        <v>235</v>
      </c>
      <c r="B57" s="54" t="s">
        <v>236</v>
      </c>
      <c r="C57" s="54" t="s">
        <v>532</v>
      </c>
      <c r="D57" s="54" t="s">
        <v>591</v>
      </c>
      <c r="E57" s="54" t="s">
        <v>21</v>
      </c>
      <c r="F57" s="54" t="s">
        <v>24</v>
      </c>
      <c r="G57" s="54" t="s">
        <v>502</v>
      </c>
      <c r="H57" s="91" t="s">
        <v>588</v>
      </c>
      <c r="I57" s="86" t="s">
        <v>559</v>
      </c>
      <c r="J57" s="87" t="s">
        <v>545</v>
      </c>
    </row>
    <row r="58" spans="1:10" ht="39.75" customHeight="1">
      <c r="A58" s="54" t="s">
        <v>235</v>
      </c>
      <c r="B58" s="54" t="s">
        <v>236</v>
      </c>
      <c r="C58" s="54" t="s">
        <v>532</v>
      </c>
      <c r="D58" s="54" t="s">
        <v>592</v>
      </c>
      <c r="E58" s="54" t="s">
        <v>21</v>
      </c>
      <c r="F58" s="54" t="s">
        <v>24</v>
      </c>
      <c r="G58" s="54" t="s">
        <v>502</v>
      </c>
      <c r="H58" s="85" t="s">
        <v>588</v>
      </c>
      <c r="I58" s="86" t="s">
        <v>589</v>
      </c>
      <c r="J58" s="87" t="s">
        <v>570</v>
      </c>
    </row>
    <row r="59" spans="1:10" ht="39.75" customHeight="1">
      <c r="A59" s="54" t="s">
        <v>240</v>
      </c>
      <c r="B59" s="54" t="s">
        <v>241</v>
      </c>
      <c r="C59" s="54" t="s">
        <v>532</v>
      </c>
      <c r="D59" s="54" t="s">
        <v>243</v>
      </c>
      <c r="E59" s="54" t="s">
        <v>21</v>
      </c>
      <c r="F59" s="54" t="s">
        <v>25</v>
      </c>
      <c r="G59" s="54" t="s">
        <v>497</v>
      </c>
      <c r="H59" s="85" t="s">
        <v>503</v>
      </c>
      <c r="I59" s="86" t="s">
        <v>503</v>
      </c>
      <c r="J59" s="87" t="s">
        <v>503</v>
      </c>
    </row>
    <row r="60" spans="1:10" ht="39.75" customHeight="1">
      <c r="A60" s="54" t="s">
        <v>240</v>
      </c>
      <c r="B60" s="54" t="s">
        <v>241</v>
      </c>
      <c r="C60" s="54" t="s">
        <v>532</v>
      </c>
      <c r="D60" s="100" t="s">
        <v>593</v>
      </c>
      <c r="E60" s="54" t="s">
        <v>53</v>
      </c>
      <c r="F60" s="54" t="s">
        <v>549</v>
      </c>
      <c r="G60" s="54" t="s">
        <v>502</v>
      </c>
      <c r="H60" s="85" t="s">
        <v>588</v>
      </c>
      <c r="I60" s="86" t="s">
        <v>589</v>
      </c>
      <c r="J60" s="87" t="s">
        <v>594</v>
      </c>
    </row>
    <row r="61" spans="1:10" ht="39.75" customHeight="1">
      <c r="A61" s="54" t="s">
        <v>240</v>
      </c>
      <c r="B61" s="54" t="s">
        <v>241</v>
      </c>
      <c r="C61" s="54" t="s">
        <v>532</v>
      </c>
      <c r="D61" s="54" t="s">
        <v>595</v>
      </c>
      <c r="E61" s="54" t="s">
        <v>53</v>
      </c>
      <c r="F61" s="54" t="s">
        <v>549</v>
      </c>
      <c r="G61" s="54" t="s">
        <v>497</v>
      </c>
      <c r="H61" s="85" t="s">
        <v>596</v>
      </c>
      <c r="I61" s="86" t="s">
        <v>597</v>
      </c>
      <c r="J61" s="87" t="s">
        <v>598</v>
      </c>
    </row>
    <row r="62" spans="1:10" ht="39.75" customHeight="1">
      <c r="A62" s="54" t="s">
        <v>240</v>
      </c>
      <c r="B62" s="54" t="s">
        <v>241</v>
      </c>
      <c r="C62" s="54" t="s">
        <v>532</v>
      </c>
      <c r="D62" s="54" t="s">
        <v>245</v>
      </c>
      <c r="E62" s="54" t="s">
        <v>53</v>
      </c>
      <c r="F62" s="54" t="s">
        <v>504</v>
      </c>
      <c r="G62" s="54" t="s">
        <v>502</v>
      </c>
      <c r="H62" s="85" t="s">
        <v>599</v>
      </c>
      <c r="I62" s="86" t="s">
        <v>600</v>
      </c>
      <c r="J62" s="87" t="s">
        <v>601</v>
      </c>
    </row>
    <row r="63" spans="1:10" s="92" customFormat="1" ht="39.75" customHeight="1">
      <c r="A63" s="92" t="s">
        <v>246</v>
      </c>
      <c r="B63" s="92" t="s">
        <v>247</v>
      </c>
      <c r="C63" s="92" t="s">
        <v>532</v>
      </c>
      <c r="D63" s="92" t="s">
        <v>602</v>
      </c>
      <c r="E63" s="92" t="s">
        <v>21</v>
      </c>
      <c r="F63" s="92" t="s">
        <v>23</v>
      </c>
      <c r="G63" s="92" t="s">
        <v>502</v>
      </c>
      <c r="H63" s="85" t="s">
        <v>599</v>
      </c>
      <c r="I63" s="86" t="s">
        <v>603</v>
      </c>
      <c r="J63" s="87" t="s">
        <v>604</v>
      </c>
    </row>
    <row r="64" spans="1:10" ht="39.75" customHeight="1">
      <c r="A64" s="54" t="s">
        <v>246</v>
      </c>
      <c r="B64" s="54" t="s">
        <v>247</v>
      </c>
      <c r="C64" s="54" t="s">
        <v>532</v>
      </c>
      <c r="D64" s="54" t="s">
        <v>605</v>
      </c>
      <c r="E64" s="54" t="s">
        <v>21</v>
      </c>
      <c r="F64" s="54" t="s">
        <v>23</v>
      </c>
      <c r="G64" s="54" t="s">
        <v>499</v>
      </c>
      <c r="H64" s="85" t="s">
        <v>524</v>
      </c>
      <c r="I64" s="86" t="s">
        <v>524</v>
      </c>
      <c r="J64" s="87" t="s">
        <v>524</v>
      </c>
    </row>
    <row r="65" spans="1:10" ht="39.75" customHeight="1">
      <c r="A65" s="54" t="s">
        <v>246</v>
      </c>
      <c r="B65" s="54" t="s">
        <v>247</v>
      </c>
      <c r="C65" s="54" t="s">
        <v>532</v>
      </c>
      <c r="D65" s="54" t="s">
        <v>606</v>
      </c>
      <c r="E65" s="54" t="s">
        <v>21</v>
      </c>
      <c r="F65" s="54" t="s">
        <v>23</v>
      </c>
      <c r="G65" s="54" t="s">
        <v>499</v>
      </c>
      <c r="H65" s="85" t="s">
        <v>524</v>
      </c>
      <c r="I65" s="86" t="s">
        <v>524</v>
      </c>
      <c r="J65" s="87" t="s">
        <v>524</v>
      </c>
    </row>
    <row r="66" spans="1:10" ht="39.75" customHeight="1">
      <c r="A66" s="54" t="s">
        <v>246</v>
      </c>
      <c r="B66" s="54" t="s">
        <v>247</v>
      </c>
      <c r="C66" s="54" t="s">
        <v>532</v>
      </c>
      <c r="D66" s="54" t="s">
        <v>607</v>
      </c>
      <c r="E66" s="54" t="s">
        <v>21</v>
      </c>
      <c r="F66" s="54" t="s">
        <v>24</v>
      </c>
      <c r="G66" s="54" t="s">
        <v>502</v>
      </c>
      <c r="H66" s="85" t="s">
        <v>599</v>
      </c>
      <c r="I66" s="86" t="s">
        <v>600</v>
      </c>
      <c r="J66" s="87" t="s">
        <v>601</v>
      </c>
    </row>
    <row r="67" spans="1:10" ht="39.75" customHeight="1">
      <c r="A67" s="54" t="s">
        <v>246</v>
      </c>
      <c r="B67" s="54" t="s">
        <v>247</v>
      </c>
      <c r="C67" s="54" t="s">
        <v>532</v>
      </c>
      <c r="D67" s="54" t="s">
        <v>608</v>
      </c>
      <c r="E67" s="54" t="s">
        <v>21</v>
      </c>
      <c r="F67" s="54" t="s">
        <v>24</v>
      </c>
      <c r="G67" s="54" t="s">
        <v>502</v>
      </c>
      <c r="H67" s="85" t="s">
        <v>599</v>
      </c>
      <c r="I67" s="86" t="s">
        <v>600</v>
      </c>
      <c r="J67" s="87" t="s">
        <v>601</v>
      </c>
    </row>
    <row r="68" spans="1:10" s="92" customFormat="1" ht="39.75" customHeight="1">
      <c r="A68" s="92" t="s">
        <v>251</v>
      </c>
      <c r="B68" s="92" t="s">
        <v>247</v>
      </c>
      <c r="C68" s="92" t="s">
        <v>532</v>
      </c>
      <c r="D68" s="92" t="s">
        <v>602</v>
      </c>
      <c r="E68" s="92" t="s">
        <v>21</v>
      </c>
      <c r="F68" s="92" t="s">
        <v>23</v>
      </c>
      <c r="G68" s="92" t="s">
        <v>502</v>
      </c>
      <c r="H68" s="85" t="s">
        <v>588</v>
      </c>
      <c r="I68" s="86" t="s">
        <v>559</v>
      </c>
      <c r="J68" s="87" t="s">
        <v>545</v>
      </c>
    </row>
    <row r="69" spans="1:10" ht="39.75" customHeight="1">
      <c r="A69" s="54" t="s">
        <v>251</v>
      </c>
      <c r="B69" s="54" t="s">
        <v>247</v>
      </c>
      <c r="C69" s="54" t="s">
        <v>532</v>
      </c>
      <c r="D69" s="54" t="s">
        <v>609</v>
      </c>
      <c r="E69" s="54" t="s">
        <v>21</v>
      </c>
      <c r="F69" s="54" t="s">
        <v>24</v>
      </c>
      <c r="G69" s="54" t="s">
        <v>502</v>
      </c>
      <c r="H69" s="85" t="s">
        <v>599</v>
      </c>
      <c r="I69" s="86" t="s">
        <v>600</v>
      </c>
      <c r="J69" s="87" t="s">
        <v>601</v>
      </c>
    </row>
    <row r="70" spans="1:10" ht="39.75" customHeight="1">
      <c r="A70" s="54" t="s">
        <v>251</v>
      </c>
      <c r="B70" s="54" t="s">
        <v>247</v>
      </c>
      <c r="C70" s="54" t="s">
        <v>532</v>
      </c>
      <c r="D70" s="54" t="s">
        <v>610</v>
      </c>
      <c r="E70" s="54" t="s">
        <v>21</v>
      </c>
      <c r="F70" s="54" t="s">
        <v>24</v>
      </c>
      <c r="G70" s="54" t="s">
        <v>502</v>
      </c>
      <c r="H70" s="85" t="s">
        <v>599</v>
      </c>
      <c r="I70" s="86" t="s">
        <v>600</v>
      </c>
      <c r="J70" s="87" t="s">
        <v>601</v>
      </c>
    </row>
    <row r="71" spans="1:10" ht="39.75" customHeight="1">
      <c r="A71" s="54" t="s">
        <v>255</v>
      </c>
      <c r="B71" s="54" t="s">
        <v>256</v>
      </c>
      <c r="C71" s="54" t="s">
        <v>532</v>
      </c>
      <c r="D71" s="54" t="s">
        <v>611</v>
      </c>
      <c r="E71" s="54" t="s">
        <v>21</v>
      </c>
      <c r="F71" s="54" t="s">
        <v>23</v>
      </c>
      <c r="G71" s="54" t="s">
        <v>497</v>
      </c>
      <c r="H71" s="85" t="s">
        <v>612</v>
      </c>
      <c r="I71" s="86" t="s">
        <v>613</v>
      </c>
      <c r="J71" s="87" t="s">
        <v>614</v>
      </c>
    </row>
    <row r="72" spans="1:10" ht="39.75" customHeight="1">
      <c r="A72" s="54" t="s">
        <v>255</v>
      </c>
      <c r="B72" s="54" t="s">
        <v>256</v>
      </c>
      <c r="C72" s="54" t="s">
        <v>532</v>
      </c>
      <c r="D72" s="54" t="s">
        <v>615</v>
      </c>
      <c r="E72" s="54" t="s">
        <v>21</v>
      </c>
      <c r="F72" s="54" t="s">
        <v>23</v>
      </c>
      <c r="G72" s="54" t="s">
        <v>497</v>
      </c>
      <c r="H72" s="85" t="s">
        <v>612</v>
      </c>
      <c r="I72" s="86" t="s">
        <v>613</v>
      </c>
      <c r="J72" s="87" t="s">
        <v>614</v>
      </c>
    </row>
    <row r="73" spans="1:10" ht="39.75" customHeight="1">
      <c r="A73" s="54" t="s">
        <v>255</v>
      </c>
      <c r="B73" s="54" t="s">
        <v>256</v>
      </c>
      <c r="C73" s="54" t="s">
        <v>532</v>
      </c>
      <c r="D73" s="54" t="s">
        <v>616</v>
      </c>
      <c r="E73" s="54" t="s">
        <v>21</v>
      </c>
      <c r="F73" s="54" t="s">
        <v>24</v>
      </c>
      <c r="G73" s="54" t="s">
        <v>497</v>
      </c>
      <c r="H73" s="85">
        <v>0</v>
      </c>
      <c r="I73" s="86" t="s">
        <v>524</v>
      </c>
      <c r="J73" s="87" t="s">
        <v>617</v>
      </c>
    </row>
    <row r="74" spans="1:10" ht="39.75" customHeight="1">
      <c r="A74" s="54" t="s">
        <v>255</v>
      </c>
      <c r="B74" s="54" t="s">
        <v>256</v>
      </c>
      <c r="C74" s="54" t="s">
        <v>532</v>
      </c>
      <c r="D74" s="54" t="s">
        <v>618</v>
      </c>
      <c r="E74" s="54" t="s">
        <v>21</v>
      </c>
      <c r="F74" s="54" t="s">
        <v>24</v>
      </c>
      <c r="G74" s="54" t="s">
        <v>497</v>
      </c>
      <c r="H74" s="91">
        <v>1</v>
      </c>
      <c r="I74" s="86" t="s">
        <v>619</v>
      </c>
      <c r="J74" s="87" t="s">
        <v>620</v>
      </c>
    </row>
    <row r="75" spans="1:10" ht="39.75" customHeight="1">
      <c r="A75" s="54" t="s">
        <v>255</v>
      </c>
      <c r="B75" s="54" t="s">
        <v>256</v>
      </c>
      <c r="C75" s="54" t="s">
        <v>532</v>
      </c>
      <c r="D75" s="54" t="s">
        <v>621</v>
      </c>
      <c r="E75" s="54" t="s">
        <v>21</v>
      </c>
      <c r="F75" s="54" t="s">
        <v>24</v>
      </c>
      <c r="G75" s="54" t="s">
        <v>497</v>
      </c>
      <c r="H75" s="91">
        <v>1</v>
      </c>
      <c r="I75" s="86" t="s">
        <v>619</v>
      </c>
      <c r="J75" s="87" t="s">
        <v>620</v>
      </c>
    </row>
    <row r="76" spans="1:10" ht="39.75" customHeight="1">
      <c r="A76" s="54" t="s">
        <v>260</v>
      </c>
      <c r="B76" s="54" t="s">
        <v>261</v>
      </c>
      <c r="C76" s="54" t="s">
        <v>532</v>
      </c>
      <c r="D76" s="54" t="s">
        <v>263</v>
      </c>
      <c r="E76" s="54" t="s">
        <v>21</v>
      </c>
      <c r="F76" s="54" t="s">
        <v>23</v>
      </c>
      <c r="G76" s="54" t="s">
        <v>502</v>
      </c>
      <c r="H76" s="85" t="s">
        <v>622</v>
      </c>
      <c r="I76" s="86" t="s">
        <v>623</v>
      </c>
      <c r="J76" s="87" t="s">
        <v>624</v>
      </c>
    </row>
    <row r="77" spans="1:10" ht="39.75" customHeight="1">
      <c r="A77" s="54" t="s">
        <v>260</v>
      </c>
      <c r="B77" s="54" t="s">
        <v>261</v>
      </c>
      <c r="C77" s="54" t="s">
        <v>532</v>
      </c>
      <c r="D77" s="54" t="s">
        <v>608</v>
      </c>
      <c r="E77" s="54" t="s">
        <v>21</v>
      </c>
      <c r="F77" s="54" t="s">
        <v>24</v>
      </c>
      <c r="G77" s="54" t="s">
        <v>502</v>
      </c>
      <c r="H77" s="85" t="s">
        <v>599</v>
      </c>
      <c r="I77" s="86" t="s">
        <v>600</v>
      </c>
      <c r="J77" s="87" t="s">
        <v>601</v>
      </c>
    </row>
    <row r="78" spans="1:10" ht="39.75" customHeight="1">
      <c r="A78" s="54" t="s">
        <v>260</v>
      </c>
      <c r="B78" s="54" t="s">
        <v>261</v>
      </c>
      <c r="C78" s="54" t="s">
        <v>532</v>
      </c>
      <c r="D78" s="54" t="s">
        <v>607</v>
      </c>
      <c r="E78" s="54" t="s">
        <v>21</v>
      </c>
      <c r="F78" s="54" t="s">
        <v>24</v>
      </c>
      <c r="G78" s="54" t="s">
        <v>502</v>
      </c>
      <c r="H78" s="85" t="s">
        <v>599</v>
      </c>
      <c r="I78" s="86" t="s">
        <v>600</v>
      </c>
      <c r="J78" s="87" t="s">
        <v>601</v>
      </c>
    </row>
    <row r="79" spans="1:10" ht="39.75" customHeight="1">
      <c r="A79" s="54" t="s">
        <v>260</v>
      </c>
      <c r="B79" s="54" t="s">
        <v>261</v>
      </c>
      <c r="C79" s="54" t="s">
        <v>532</v>
      </c>
      <c r="D79" s="54" t="s">
        <v>625</v>
      </c>
      <c r="E79" s="54" t="s">
        <v>21</v>
      </c>
      <c r="F79" s="54" t="s">
        <v>24</v>
      </c>
      <c r="G79" s="54" t="s">
        <v>502</v>
      </c>
      <c r="H79" s="85" t="s">
        <v>599</v>
      </c>
      <c r="I79" s="86" t="s">
        <v>600</v>
      </c>
      <c r="J79" s="87" t="s">
        <v>601</v>
      </c>
    </row>
    <row r="80" spans="1:10" ht="39.75" customHeight="1">
      <c r="A80" s="54" t="s">
        <v>265</v>
      </c>
      <c r="B80" s="54" t="s">
        <v>266</v>
      </c>
      <c r="C80" s="54" t="s">
        <v>532</v>
      </c>
      <c r="D80" s="54" t="s">
        <v>268</v>
      </c>
      <c r="E80" s="54" t="s">
        <v>21</v>
      </c>
      <c r="F80" s="54" t="s">
        <v>23</v>
      </c>
      <c r="G80" s="54" t="s">
        <v>502</v>
      </c>
      <c r="H80" s="85" t="s">
        <v>626</v>
      </c>
      <c r="I80" s="86" t="s">
        <v>627</v>
      </c>
      <c r="J80" s="87" t="s">
        <v>628</v>
      </c>
    </row>
    <row r="81" spans="1:10" ht="39.75" customHeight="1">
      <c r="A81" s="54" t="s">
        <v>265</v>
      </c>
      <c r="B81" s="54" t="s">
        <v>266</v>
      </c>
      <c r="C81" s="54" t="s">
        <v>532</v>
      </c>
      <c r="D81" s="54" t="s">
        <v>629</v>
      </c>
      <c r="E81" s="54" t="s">
        <v>21</v>
      </c>
      <c r="F81" s="54" t="s">
        <v>24</v>
      </c>
      <c r="G81" s="54" t="s">
        <v>502</v>
      </c>
      <c r="H81" s="85" t="s">
        <v>599</v>
      </c>
      <c r="I81" s="86" t="s">
        <v>600</v>
      </c>
      <c r="J81" s="87" t="s">
        <v>601</v>
      </c>
    </row>
    <row r="82" spans="1:10" ht="39.75" customHeight="1">
      <c r="A82" s="54" t="s">
        <v>265</v>
      </c>
      <c r="B82" s="54" t="s">
        <v>266</v>
      </c>
      <c r="C82" s="54" t="s">
        <v>532</v>
      </c>
      <c r="D82" s="54" t="s">
        <v>630</v>
      </c>
      <c r="E82" s="54" t="s">
        <v>21</v>
      </c>
      <c r="F82" s="54" t="s">
        <v>24</v>
      </c>
      <c r="G82" s="54" t="s">
        <v>502</v>
      </c>
      <c r="H82" s="85" t="s">
        <v>599</v>
      </c>
      <c r="I82" s="86" t="s">
        <v>600</v>
      </c>
      <c r="J82" s="87" t="s">
        <v>601</v>
      </c>
    </row>
    <row r="83" spans="1:10" ht="39.75" customHeight="1">
      <c r="A83" s="54" t="s">
        <v>270</v>
      </c>
      <c r="B83" s="54" t="s">
        <v>271</v>
      </c>
      <c r="C83" s="54" t="s">
        <v>532</v>
      </c>
      <c r="D83" s="54" t="s">
        <v>631</v>
      </c>
      <c r="E83" s="54" t="s">
        <v>21</v>
      </c>
      <c r="F83" s="54" t="s">
        <v>23</v>
      </c>
      <c r="G83" s="54" t="s">
        <v>502</v>
      </c>
      <c r="H83" s="85" t="s">
        <v>622</v>
      </c>
      <c r="I83" s="86" t="s">
        <v>623</v>
      </c>
      <c r="J83" s="87" t="s">
        <v>624</v>
      </c>
    </row>
    <row r="84" spans="1:10" ht="39.75" customHeight="1">
      <c r="A84" s="54" t="s">
        <v>270</v>
      </c>
      <c r="B84" s="54" t="s">
        <v>271</v>
      </c>
      <c r="C84" s="54" t="s">
        <v>532</v>
      </c>
      <c r="D84" s="54" t="s">
        <v>632</v>
      </c>
      <c r="E84" s="54" t="s">
        <v>21</v>
      </c>
      <c r="F84" s="54" t="s">
        <v>23</v>
      </c>
      <c r="G84" s="54" t="s">
        <v>502</v>
      </c>
      <c r="H84" s="85" t="s">
        <v>633</v>
      </c>
      <c r="I84" s="86" t="s">
        <v>634</v>
      </c>
      <c r="J84" s="87" t="s">
        <v>635</v>
      </c>
    </row>
    <row r="85" spans="1:10" ht="39.75" customHeight="1">
      <c r="A85" s="54" t="s">
        <v>270</v>
      </c>
      <c r="B85" s="54" t="s">
        <v>271</v>
      </c>
      <c r="C85" s="54" t="s">
        <v>532</v>
      </c>
      <c r="D85" s="54" t="s">
        <v>636</v>
      </c>
      <c r="E85" s="54" t="s">
        <v>21</v>
      </c>
      <c r="F85" s="54" t="s">
        <v>24</v>
      </c>
      <c r="G85" s="54" t="s">
        <v>502</v>
      </c>
      <c r="H85" s="85" t="s">
        <v>599</v>
      </c>
      <c r="I85" s="86" t="s">
        <v>600</v>
      </c>
      <c r="J85" s="87" t="s">
        <v>601</v>
      </c>
    </row>
    <row r="86" spans="1:10" ht="39.75" customHeight="1">
      <c r="A86" s="54" t="s">
        <v>270</v>
      </c>
      <c r="B86" s="54" t="s">
        <v>271</v>
      </c>
      <c r="C86" s="54" t="s">
        <v>532</v>
      </c>
      <c r="D86" s="54" t="s">
        <v>637</v>
      </c>
      <c r="E86" s="54" t="s">
        <v>21</v>
      </c>
      <c r="F86" s="54" t="s">
        <v>24</v>
      </c>
      <c r="G86" s="54" t="s">
        <v>499</v>
      </c>
      <c r="H86" s="85" t="s">
        <v>524</v>
      </c>
      <c r="I86" s="86" t="s">
        <v>524</v>
      </c>
      <c r="J86" s="87" t="s">
        <v>524</v>
      </c>
    </row>
    <row r="87" spans="1:10" ht="39.75" customHeight="1">
      <c r="A87" s="54" t="s">
        <v>270</v>
      </c>
      <c r="B87" s="54" t="s">
        <v>271</v>
      </c>
      <c r="C87" s="54" t="s">
        <v>532</v>
      </c>
      <c r="D87" s="54" t="s">
        <v>638</v>
      </c>
      <c r="E87" s="54" t="s">
        <v>21</v>
      </c>
      <c r="F87" s="54" t="s">
        <v>24</v>
      </c>
      <c r="G87" s="54" t="s">
        <v>502</v>
      </c>
      <c r="H87" s="85" t="s">
        <v>599</v>
      </c>
      <c r="I87" s="86" t="s">
        <v>600</v>
      </c>
      <c r="J87" s="87" t="s">
        <v>601</v>
      </c>
    </row>
    <row r="88" spans="1:10" ht="39.75" customHeight="1">
      <c r="A88" s="54" t="s">
        <v>270</v>
      </c>
      <c r="B88" s="54" t="s">
        <v>271</v>
      </c>
      <c r="C88" s="54" t="s">
        <v>532</v>
      </c>
      <c r="D88" s="54" t="s">
        <v>639</v>
      </c>
      <c r="E88" s="54" t="s">
        <v>21</v>
      </c>
      <c r="F88" s="54" t="s">
        <v>24</v>
      </c>
      <c r="G88" s="54" t="s">
        <v>499</v>
      </c>
      <c r="H88" s="85" t="s">
        <v>524</v>
      </c>
      <c r="I88" s="86" t="s">
        <v>524</v>
      </c>
      <c r="J88" s="87" t="s">
        <v>524</v>
      </c>
    </row>
    <row r="89" spans="1:10" ht="39.75" customHeight="1">
      <c r="A89" s="54" t="s">
        <v>276</v>
      </c>
      <c r="B89" s="54" t="s">
        <v>277</v>
      </c>
      <c r="C89" s="54" t="s">
        <v>532</v>
      </c>
      <c r="D89" s="54" t="s">
        <v>279</v>
      </c>
      <c r="E89" s="54" t="s">
        <v>21</v>
      </c>
      <c r="F89" s="54" t="s">
        <v>23</v>
      </c>
      <c r="G89" s="54" t="s">
        <v>502</v>
      </c>
      <c r="H89" s="85" t="s">
        <v>640</v>
      </c>
      <c r="I89" s="86" t="s">
        <v>641</v>
      </c>
      <c r="J89" s="87" t="s">
        <v>642</v>
      </c>
    </row>
    <row r="90" spans="1:10" ht="39.75" customHeight="1">
      <c r="A90" s="54" t="s">
        <v>276</v>
      </c>
      <c r="B90" s="54" t="s">
        <v>277</v>
      </c>
      <c r="C90" s="54" t="s">
        <v>532</v>
      </c>
      <c r="D90" s="54" t="s">
        <v>643</v>
      </c>
      <c r="E90" s="54" t="s">
        <v>21</v>
      </c>
      <c r="F90" s="54" t="s">
        <v>24</v>
      </c>
      <c r="G90" s="54" t="s">
        <v>502</v>
      </c>
      <c r="H90" s="85" t="s">
        <v>599</v>
      </c>
      <c r="I90" s="86" t="s">
        <v>600</v>
      </c>
      <c r="J90" s="87" t="s">
        <v>601</v>
      </c>
    </row>
    <row r="91" spans="1:10" ht="39.75" customHeight="1">
      <c r="A91" s="54" t="s">
        <v>276</v>
      </c>
      <c r="B91" s="54" t="s">
        <v>277</v>
      </c>
      <c r="C91" s="54" t="s">
        <v>532</v>
      </c>
      <c r="D91" s="54" t="s">
        <v>644</v>
      </c>
      <c r="E91" s="54" t="s">
        <v>21</v>
      </c>
      <c r="F91" s="54" t="s">
        <v>24</v>
      </c>
      <c r="G91" s="54" t="s">
        <v>502</v>
      </c>
      <c r="H91" s="85" t="s">
        <v>599</v>
      </c>
      <c r="I91" s="86" t="s">
        <v>600</v>
      </c>
      <c r="J91" s="87" t="s">
        <v>601</v>
      </c>
    </row>
    <row r="92" spans="1:10" ht="39.75" customHeight="1">
      <c r="A92" s="54" t="s">
        <v>97</v>
      </c>
      <c r="B92" s="54" t="str">
        <f>_xlfn.XLOOKUP(A92,'Digital Ops'!$A$3:$A$12,'Digital Ops'!$B$3:$B$12)</f>
        <v xml:space="preserve">Director of Digital Operations </v>
      </c>
      <c r="C92" s="54" t="s">
        <v>645</v>
      </c>
      <c r="D92" s="54" t="s">
        <v>100</v>
      </c>
      <c r="E92" s="54" t="s">
        <v>21</v>
      </c>
      <c r="F92" s="54" t="s">
        <v>24</v>
      </c>
      <c r="G92" s="54" t="s">
        <v>497</v>
      </c>
      <c r="H92" s="85" t="s">
        <v>599</v>
      </c>
      <c r="I92" s="86" t="s">
        <v>646</v>
      </c>
      <c r="J92" s="87" t="s">
        <v>594</v>
      </c>
    </row>
    <row r="93" spans="1:10" ht="39.75" customHeight="1">
      <c r="A93" s="54" t="s">
        <v>97</v>
      </c>
      <c r="B93" s="54" t="str">
        <f>_xlfn.XLOOKUP(A93,'Digital Ops'!$A$3:$A$12,'Digital Ops'!$B$3:$B$12)</f>
        <v xml:space="preserve">Director of Digital Operations </v>
      </c>
      <c r="C93" s="54" t="s">
        <v>645</v>
      </c>
      <c r="D93" s="54" t="s">
        <v>647</v>
      </c>
      <c r="E93" s="54" t="s">
        <v>21</v>
      </c>
      <c r="F93" s="54" t="s">
        <v>25</v>
      </c>
      <c r="G93" s="54" t="s">
        <v>497</v>
      </c>
      <c r="H93" s="85" t="s">
        <v>503</v>
      </c>
      <c r="I93" s="86" t="s">
        <v>503</v>
      </c>
      <c r="J93" s="87" t="s">
        <v>503</v>
      </c>
    </row>
    <row r="94" spans="1:10" ht="39.75" customHeight="1">
      <c r="A94" s="54" t="s">
        <v>97</v>
      </c>
      <c r="B94" s="54" t="str">
        <f>_xlfn.XLOOKUP(A94,'Digital Ops'!$A$3:$A$12,'Digital Ops'!$B$3:$B$12)</f>
        <v xml:space="preserve">Director of Digital Operations </v>
      </c>
      <c r="C94" s="54" t="s">
        <v>645</v>
      </c>
      <c r="D94" s="54" t="s">
        <v>648</v>
      </c>
      <c r="E94" s="54" t="s">
        <v>21</v>
      </c>
      <c r="F94" s="54" t="s">
        <v>25</v>
      </c>
      <c r="G94" s="54" t="s">
        <v>497</v>
      </c>
      <c r="H94" s="85" t="s">
        <v>503</v>
      </c>
      <c r="I94" s="86" t="s">
        <v>503</v>
      </c>
      <c r="J94" s="87" t="s">
        <v>503</v>
      </c>
    </row>
    <row r="95" spans="1:10" ht="39.75" customHeight="1">
      <c r="A95" s="54" t="s">
        <v>97</v>
      </c>
      <c r="B95" s="54" t="str">
        <f>_xlfn.XLOOKUP(A95,'Digital Ops'!$A$3:$A$12,'Digital Ops'!$B$3:$B$12)</f>
        <v xml:space="preserve">Director of Digital Operations </v>
      </c>
      <c r="C95" s="54" t="s">
        <v>645</v>
      </c>
      <c r="D95" s="54" t="s">
        <v>102</v>
      </c>
      <c r="E95" s="54" t="s">
        <v>53</v>
      </c>
      <c r="F95" s="54" t="s">
        <v>26</v>
      </c>
      <c r="G95" s="54" t="s">
        <v>502</v>
      </c>
      <c r="H95" s="85" t="s">
        <v>649</v>
      </c>
      <c r="I95" s="86" t="s">
        <v>650</v>
      </c>
      <c r="J95" s="87" t="s">
        <v>651</v>
      </c>
    </row>
    <row r="96" spans="1:10" ht="39.75" customHeight="1">
      <c r="A96" s="54" t="s">
        <v>97</v>
      </c>
      <c r="B96" s="54" t="str">
        <f>_xlfn.XLOOKUP(A96,'Digital Ops'!$A$3:$A$12,'Digital Ops'!$B$3:$B$12)</f>
        <v xml:space="preserve">Director of Digital Operations </v>
      </c>
      <c r="C96" s="54" t="s">
        <v>645</v>
      </c>
      <c r="D96" s="54" t="s">
        <v>103</v>
      </c>
      <c r="E96" s="54" t="s">
        <v>53</v>
      </c>
      <c r="F96" s="54" t="s">
        <v>27</v>
      </c>
      <c r="G96" s="54" t="s">
        <v>502</v>
      </c>
      <c r="H96" s="85" t="s">
        <v>649</v>
      </c>
      <c r="I96" s="86" t="s">
        <v>650</v>
      </c>
      <c r="J96" s="87" t="s">
        <v>651</v>
      </c>
    </row>
    <row r="97" spans="1:10" ht="39.75" customHeight="1">
      <c r="A97" s="54" t="s">
        <v>97</v>
      </c>
      <c r="B97" s="54" t="str">
        <f>_xlfn.XLOOKUP(A97,'Digital Ops'!$A$3:$A$12,'Digital Ops'!$B$3:$B$12)</f>
        <v xml:space="preserve">Director of Digital Operations </v>
      </c>
      <c r="C97" s="54" t="s">
        <v>645</v>
      </c>
      <c r="D97" s="54" t="s">
        <v>652</v>
      </c>
      <c r="E97" s="54" t="s">
        <v>53</v>
      </c>
      <c r="F97" s="54" t="s">
        <v>28</v>
      </c>
      <c r="G97" s="54" t="s">
        <v>502</v>
      </c>
      <c r="H97" s="85" t="s">
        <v>649</v>
      </c>
      <c r="I97" s="86" t="s">
        <v>650</v>
      </c>
      <c r="J97" s="87" t="s">
        <v>651</v>
      </c>
    </row>
    <row r="98" spans="1:10" ht="39.75" customHeight="1">
      <c r="A98" s="54" t="s">
        <v>97</v>
      </c>
      <c r="B98" s="54" t="str">
        <f>_xlfn.XLOOKUP(A98,'Digital Ops'!$A$3:$A$12,'Digital Ops'!$B$3:$B$12)</f>
        <v xml:space="preserve">Director of Digital Operations </v>
      </c>
      <c r="C98" s="54" t="s">
        <v>645</v>
      </c>
      <c r="D98" s="54" t="s">
        <v>653</v>
      </c>
      <c r="E98" s="54" t="s">
        <v>53</v>
      </c>
      <c r="F98" s="54" t="s">
        <v>28</v>
      </c>
      <c r="G98" s="54" t="s">
        <v>502</v>
      </c>
      <c r="H98" s="85" t="s">
        <v>654</v>
      </c>
      <c r="I98" s="86" t="s">
        <v>655</v>
      </c>
      <c r="J98" s="87" t="s">
        <v>651</v>
      </c>
    </row>
    <row r="99" spans="1:10" ht="39.75" customHeight="1">
      <c r="A99" s="54" t="s">
        <v>97</v>
      </c>
      <c r="B99" s="54" t="str">
        <f>_xlfn.XLOOKUP(A99,'Digital Ops'!$A$3:$A$12,'Digital Ops'!$B$3:$B$12)</f>
        <v xml:space="preserve">Director of Digital Operations </v>
      </c>
      <c r="C99" s="54" t="s">
        <v>645</v>
      </c>
      <c r="D99" s="54" t="s">
        <v>656</v>
      </c>
      <c r="E99" s="54" t="s">
        <v>53</v>
      </c>
      <c r="F99" s="54" t="s">
        <v>28</v>
      </c>
      <c r="G99" s="54" t="s">
        <v>502</v>
      </c>
      <c r="H99" s="85" t="s">
        <v>657</v>
      </c>
      <c r="I99" s="86" t="s">
        <v>658</v>
      </c>
      <c r="J99" s="87" t="s">
        <v>659</v>
      </c>
    </row>
    <row r="100" spans="1:10" ht="39.75" customHeight="1">
      <c r="A100" s="89" t="s">
        <v>105</v>
      </c>
      <c r="B100" s="89" t="str">
        <f>_xlfn.XLOOKUP(A100,'Digital Ops'!$A$3:$A$12,'Digital Ops'!$B$3:$B$12)</f>
        <v>Senior Manager of Digital Ops</v>
      </c>
      <c r="C100" s="89" t="s">
        <v>645</v>
      </c>
      <c r="D100" s="89" t="s">
        <v>109</v>
      </c>
      <c r="E100" s="89" t="s">
        <v>21</v>
      </c>
      <c r="F100" s="89" t="s">
        <v>23</v>
      </c>
      <c r="G100" s="89"/>
    </row>
    <row r="101" spans="1:10" ht="39.75" customHeight="1">
      <c r="A101" s="54" t="s">
        <v>105</v>
      </c>
      <c r="B101" s="54" t="str">
        <f>_xlfn.XLOOKUP(A101,'Digital Ops'!$A$3:$A$12,'Digital Ops'!$B$3:$B$12)</f>
        <v>Senior Manager of Digital Ops</v>
      </c>
      <c r="C101" s="54" t="s">
        <v>645</v>
      </c>
      <c r="D101" s="54" t="s">
        <v>110</v>
      </c>
      <c r="E101" s="54" t="s">
        <v>21</v>
      </c>
      <c r="F101" s="54" t="s">
        <v>24</v>
      </c>
      <c r="G101" s="54" t="s">
        <v>502</v>
      </c>
      <c r="H101" s="85" t="s">
        <v>599</v>
      </c>
      <c r="I101" s="86" t="s">
        <v>646</v>
      </c>
      <c r="J101" s="87" t="s">
        <v>594</v>
      </c>
    </row>
    <row r="102" spans="1:10" ht="39.75" customHeight="1">
      <c r="A102" s="54" t="s">
        <v>105</v>
      </c>
      <c r="B102" s="54" t="str">
        <f>_xlfn.XLOOKUP(A102,'Digital Ops'!$A$3:$A$12,'Digital Ops'!$B$3:$B$12)</f>
        <v>Senior Manager of Digital Ops</v>
      </c>
      <c r="C102" s="54" t="s">
        <v>645</v>
      </c>
      <c r="D102" s="54" t="s">
        <v>111</v>
      </c>
      <c r="E102" s="54" t="s">
        <v>53</v>
      </c>
      <c r="F102" s="54" t="s">
        <v>26</v>
      </c>
      <c r="G102" s="54" t="s">
        <v>502</v>
      </c>
      <c r="H102" s="85" t="s">
        <v>660</v>
      </c>
      <c r="I102" s="86" t="s">
        <v>661</v>
      </c>
      <c r="J102" s="87" t="s">
        <v>662</v>
      </c>
    </row>
    <row r="103" spans="1:10" ht="39.75" customHeight="1">
      <c r="A103" s="54" t="s">
        <v>105</v>
      </c>
      <c r="B103" s="54" t="str">
        <f>_xlfn.XLOOKUP(A103,'Digital Ops'!$A$3:$A$12,'Digital Ops'!$B$3:$B$12)</f>
        <v>Senior Manager of Digital Ops</v>
      </c>
      <c r="C103" s="54" t="s">
        <v>645</v>
      </c>
      <c r="D103" s="54" t="s">
        <v>112</v>
      </c>
      <c r="E103" s="54" t="s">
        <v>53</v>
      </c>
      <c r="F103" s="54" t="s">
        <v>27</v>
      </c>
      <c r="G103" s="54" t="s">
        <v>502</v>
      </c>
      <c r="H103" s="85" t="s">
        <v>599</v>
      </c>
      <c r="I103" s="86" t="s">
        <v>646</v>
      </c>
      <c r="J103" s="87" t="s">
        <v>594</v>
      </c>
    </row>
    <row r="104" spans="1:10" ht="39.75" customHeight="1">
      <c r="A104" s="54" t="s">
        <v>105</v>
      </c>
      <c r="B104" s="54" t="str">
        <f>_xlfn.XLOOKUP(A104,'Digital Ops'!$A$3:$A$12,'Digital Ops'!$B$3:$B$12)</f>
        <v>Senior Manager of Digital Ops</v>
      </c>
      <c r="C104" s="54" t="s">
        <v>645</v>
      </c>
      <c r="D104" s="54" t="s">
        <v>113</v>
      </c>
      <c r="E104" s="54" t="s">
        <v>53</v>
      </c>
      <c r="F104" s="54" t="s">
        <v>28</v>
      </c>
      <c r="G104" s="54" t="s">
        <v>497</v>
      </c>
      <c r="H104" s="85" t="s">
        <v>663</v>
      </c>
      <c r="I104" s="86" t="s">
        <v>664</v>
      </c>
      <c r="J104" s="90">
        <v>0.01</v>
      </c>
    </row>
    <row r="105" spans="1:10" ht="39.75" customHeight="1">
      <c r="A105" s="89" t="s">
        <v>114</v>
      </c>
      <c r="B105" s="89" t="str">
        <f>_xlfn.XLOOKUP(A105,'Digital Ops'!$A$3:$A$12,'Digital Ops'!$B$3:$B$12)</f>
        <v>Operational Research &amp; Reporting Manager</v>
      </c>
      <c r="C105" s="89" t="s">
        <v>645</v>
      </c>
      <c r="D105" s="89" t="s">
        <v>117</v>
      </c>
      <c r="E105" s="89" t="s">
        <v>21</v>
      </c>
      <c r="F105" s="89" t="s">
        <v>23</v>
      </c>
      <c r="G105" s="89"/>
    </row>
    <row r="106" spans="1:10" ht="39.75" customHeight="1">
      <c r="A106" s="54" t="s">
        <v>114</v>
      </c>
      <c r="B106" s="54" t="str">
        <f>_xlfn.XLOOKUP(A106,'Digital Ops'!$A$3:$A$12,'Digital Ops'!$B$3:$B$12)</f>
        <v>Operational Research &amp; Reporting Manager</v>
      </c>
      <c r="C106" s="54" t="s">
        <v>645</v>
      </c>
      <c r="D106" s="54" t="s">
        <v>118</v>
      </c>
      <c r="E106" s="54" t="s">
        <v>21</v>
      </c>
      <c r="F106" s="54" t="s">
        <v>24</v>
      </c>
      <c r="G106" s="54" t="s">
        <v>497</v>
      </c>
      <c r="H106" s="85" t="s">
        <v>599</v>
      </c>
      <c r="I106" s="86" t="s">
        <v>646</v>
      </c>
      <c r="J106" s="87" t="s">
        <v>594</v>
      </c>
    </row>
    <row r="107" spans="1:10" ht="39.75" customHeight="1">
      <c r="A107" s="54" t="s">
        <v>114</v>
      </c>
      <c r="B107" s="54" t="str">
        <f>_xlfn.XLOOKUP(A107,'Digital Ops'!$A$3:$A$12,'Digital Ops'!$B$3:$B$12)</f>
        <v>Operational Research &amp; Reporting Manager</v>
      </c>
      <c r="C107" s="54" t="s">
        <v>645</v>
      </c>
      <c r="D107" s="54" t="s">
        <v>119</v>
      </c>
      <c r="E107" s="54" t="s">
        <v>21</v>
      </c>
      <c r="F107" s="54" t="s">
        <v>25</v>
      </c>
      <c r="G107" s="54" t="s">
        <v>497</v>
      </c>
      <c r="H107" s="85" t="s">
        <v>503</v>
      </c>
      <c r="I107" s="86" t="s">
        <v>503</v>
      </c>
      <c r="J107" s="87" t="s">
        <v>503</v>
      </c>
    </row>
    <row r="108" spans="1:10" ht="39.75" customHeight="1">
      <c r="A108" s="89" t="s">
        <v>120</v>
      </c>
      <c r="B108" s="89" t="str">
        <f>_xlfn.XLOOKUP(A108,'Digital Ops'!$A$3:$A$12,'Digital Ops'!$B$3:$B$12)</f>
        <v>Operational Data Analyst</v>
      </c>
      <c r="C108" s="89" t="s">
        <v>645</v>
      </c>
      <c r="D108" s="89" t="s">
        <v>123</v>
      </c>
      <c r="E108" s="89" t="s">
        <v>21</v>
      </c>
      <c r="F108" s="89" t="s">
        <v>23</v>
      </c>
      <c r="G108" s="89"/>
    </row>
    <row r="109" spans="1:10" ht="39.75" customHeight="1">
      <c r="A109" s="54" t="s">
        <v>120</v>
      </c>
      <c r="B109" s="54" t="str">
        <f>_xlfn.XLOOKUP(A109,'Digital Ops'!$A$3:$A$12,'Digital Ops'!$B$3:$B$12)</f>
        <v>Operational Data Analyst</v>
      </c>
      <c r="C109" s="54" t="s">
        <v>645</v>
      </c>
      <c r="D109" s="54" t="s">
        <v>124</v>
      </c>
      <c r="E109" s="54" t="s">
        <v>21</v>
      </c>
      <c r="F109" s="54" t="s">
        <v>24</v>
      </c>
      <c r="G109" s="54" t="s">
        <v>497</v>
      </c>
      <c r="H109" s="85" t="s">
        <v>599</v>
      </c>
      <c r="I109" s="86" t="s">
        <v>646</v>
      </c>
      <c r="J109" s="87" t="s">
        <v>594</v>
      </c>
    </row>
    <row r="110" spans="1:10" ht="39.75" customHeight="1">
      <c r="A110" s="89" t="s">
        <v>125</v>
      </c>
      <c r="B110" s="89" t="str">
        <f>_xlfn.XLOOKUP(A110,'Digital Ops'!$A$3:$A$12,'Digital Ops'!$B$3:$B$12)</f>
        <v xml:space="preserve">Reporting &amp; Evaluation Coordinator </v>
      </c>
      <c r="C110" s="89" t="s">
        <v>645</v>
      </c>
      <c r="D110" s="89" t="s">
        <v>123</v>
      </c>
      <c r="E110" s="89" t="s">
        <v>21</v>
      </c>
      <c r="F110" s="89" t="s">
        <v>23</v>
      </c>
      <c r="G110" s="89"/>
    </row>
    <row r="111" spans="1:10" ht="39.75" customHeight="1">
      <c r="A111" s="54" t="s">
        <v>125</v>
      </c>
      <c r="B111" s="54" t="str">
        <f>_xlfn.XLOOKUP(A111,'Digital Ops'!$A$3:$A$12,'Digital Ops'!$B$3:$B$12)</f>
        <v xml:space="preserve">Reporting &amp; Evaluation Coordinator </v>
      </c>
      <c r="C111" s="54" t="s">
        <v>645</v>
      </c>
      <c r="D111" s="54" t="s">
        <v>124</v>
      </c>
      <c r="E111" s="54" t="s">
        <v>21</v>
      </c>
      <c r="F111" s="54" t="s">
        <v>24</v>
      </c>
      <c r="G111" s="54" t="s">
        <v>497</v>
      </c>
      <c r="H111" s="85" t="s">
        <v>599</v>
      </c>
      <c r="I111" s="86" t="s">
        <v>646</v>
      </c>
      <c r="J111" s="87" t="s">
        <v>594</v>
      </c>
    </row>
    <row r="112" spans="1:10" ht="47.25" customHeight="1">
      <c r="A112" s="89" t="s">
        <v>128</v>
      </c>
      <c r="B112" s="89" t="str">
        <f>_xlfn.XLOOKUP(A112,'Digital Ops'!$A$3:$A$12,'Digital Ops'!$B$3:$B$12)</f>
        <v>System &amp; Operations Associate Registrar
(title change)</v>
      </c>
      <c r="C112" s="89" t="s">
        <v>645</v>
      </c>
      <c r="D112" s="89" t="s">
        <v>123</v>
      </c>
      <c r="E112" s="89" t="s">
        <v>21</v>
      </c>
      <c r="F112" s="89" t="s">
        <v>23</v>
      </c>
      <c r="G112" s="89"/>
    </row>
    <row r="113" spans="1:10" ht="47.25" customHeight="1">
      <c r="A113" s="54" t="s">
        <v>128</v>
      </c>
      <c r="B113" s="54" t="str">
        <f>_xlfn.XLOOKUP(A113,'Digital Ops'!$A$3:$A$12,'Digital Ops'!$B$3:$B$12)</f>
        <v>System &amp; Operations Associate Registrar
(title change)</v>
      </c>
      <c r="C113" s="54" t="s">
        <v>645</v>
      </c>
      <c r="D113" s="54" t="s">
        <v>124</v>
      </c>
      <c r="E113" s="54" t="s">
        <v>21</v>
      </c>
      <c r="F113" s="54" t="s">
        <v>24</v>
      </c>
      <c r="G113" s="54" t="s">
        <v>497</v>
      </c>
      <c r="H113" s="85" t="s">
        <v>599</v>
      </c>
      <c r="I113" s="86" t="s">
        <v>646</v>
      </c>
      <c r="J113" s="87" t="s">
        <v>594</v>
      </c>
    </row>
    <row r="114" spans="1:10" ht="39.75" customHeight="1">
      <c r="A114" s="54" t="s">
        <v>131</v>
      </c>
      <c r="B114" s="54" t="str">
        <f>_xlfn.XLOOKUP(A114,'Digital Ops'!$A$3:$A$12,'Digital Ops'!$B$3:$B$12)</f>
        <v>D365 &amp; Automation Manager</v>
      </c>
      <c r="C114" s="54" t="s">
        <v>645</v>
      </c>
      <c r="D114" s="54" t="s">
        <v>135</v>
      </c>
      <c r="E114" s="54" t="s">
        <v>21</v>
      </c>
      <c r="F114" s="54" t="s">
        <v>23</v>
      </c>
      <c r="G114" s="54" t="s">
        <v>497</v>
      </c>
      <c r="H114" s="85" t="s">
        <v>599</v>
      </c>
      <c r="I114" s="86" t="s">
        <v>646</v>
      </c>
      <c r="J114" s="87" t="s">
        <v>594</v>
      </c>
    </row>
    <row r="115" spans="1:10" ht="39.75" customHeight="1">
      <c r="A115" s="54" t="s">
        <v>131</v>
      </c>
      <c r="B115" s="54" t="str">
        <f>_xlfn.XLOOKUP(A115,'Digital Ops'!$A$3:$A$12,'Digital Ops'!$B$3:$B$12)</f>
        <v>D365 &amp; Automation Manager</v>
      </c>
      <c r="C115" s="54" t="s">
        <v>645</v>
      </c>
      <c r="D115" s="54" t="s">
        <v>124</v>
      </c>
      <c r="E115" s="54" t="s">
        <v>21</v>
      </c>
      <c r="F115" s="54" t="s">
        <v>24</v>
      </c>
      <c r="G115" s="54" t="s">
        <v>497</v>
      </c>
      <c r="H115" s="85" t="s">
        <v>599</v>
      </c>
      <c r="I115" s="86" t="s">
        <v>646</v>
      </c>
      <c r="J115" s="87" t="s">
        <v>594</v>
      </c>
    </row>
    <row r="116" spans="1:10" ht="39.75" customHeight="1">
      <c r="A116" s="54" t="s">
        <v>136</v>
      </c>
      <c r="B116" s="54" t="str">
        <f>_xlfn.XLOOKUP(A116,'Digital Ops'!$A$3:$A$12,'Digital Ops'!$B$3:$B$12)</f>
        <v>Companion &amp; Special Projects Manager</v>
      </c>
      <c r="C116" s="54" t="s">
        <v>645</v>
      </c>
      <c r="D116" s="54" t="s">
        <v>135</v>
      </c>
      <c r="E116" s="54" t="s">
        <v>21</v>
      </c>
      <c r="F116" s="54" t="s">
        <v>23</v>
      </c>
      <c r="G116" s="54" t="s">
        <v>497</v>
      </c>
      <c r="H116" s="85" t="s">
        <v>599</v>
      </c>
      <c r="I116" s="86" t="s">
        <v>646</v>
      </c>
      <c r="J116" s="87" t="s">
        <v>594</v>
      </c>
    </row>
    <row r="117" spans="1:10" ht="39.75" customHeight="1">
      <c r="A117" s="54" t="s">
        <v>136</v>
      </c>
      <c r="B117" s="54" t="str">
        <f>_xlfn.XLOOKUP(A117,'Digital Ops'!$A$3:$A$12,'Digital Ops'!$B$3:$B$12)</f>
        <v>Companion &amp; Special Projects Manager</v>
      </c>
      <c r="C117" s="54" t="s">
        <v>645</v>
      </c>
      <c r="D117" s="54" t="s">
        <v>124</v>
      </c>
      <c r="E117" s="54" t="s">
        <v>21</v>
      </c>
      <c r="F117" s="54" t="s">
        <v>24</v>
      </c>
      <c r="G117" s="54" t="s">
        <v>497</v>
      </c>
      <c r="H117" s="85" t="s">
        <v>599</v>
      </c>
      <c r="I117" s="86" t="s">
        <v>646</v>
      </c>
      <c r="J117" s="87" t="s">
        <v>594</v>
      </c>
    </row>
    <row r="118" spans="1:10" ht="39.75" customHeight="1">
      <c r="A118" s="54" t="s">
        <v>139</v>
      </c>
      <c r="B118" s="54" t="str">
        <f>_xlfn.XLOOKUP(A118,'Digital Ops'!$A$3:$A$12,'Digital Ops'!$B$3:$B$12)</f>
        <v>Data Manager</v>
      </c>
      <c r="C118" s="54" t="s">
        <v>645</v>
      </c>
      <c r="D118" s="54" t="s">
        <v>135</v>
      </c>
      <c r="E118" s="54" t="s">
        <v>21</v>
      </c>
      <c r="F118" s="54" t="s">
        <v>23</v>
      </c>
      <c r="G118" s="54" t="s">
        <v>497</v>
      </c>
      <c r="H118" s="85" t="s">
        <v>599</v>
      </c>
      <c r="I118" s="86" t="s">
        <v>646</v>
      </c>
      <c r="J118" s="87" t="s">
        <v>594</v>
      </c>
    </row>
    <row r="119" spans="1:10" ht="39.75" customHeight="1">
      <c r="A119" s="54" t="s">
        <v>139</v>
      </c>
      <c r="B119" s="54" t="str">
        <f>_xlfn.XLOOKUP(A119,'Digital Ops'!$A$3:$A$12,'Digital Ops'!$B$3:$B$12)</f>
        <v>Data Manager</v>
      </c>
      <c r="C119" s="54" t="s">
        <v>645</v>
      </c>
      <c r="D119" s="54" t="s">
        <v>124</v>
      </c>
      <c r="E119" s="54" t="s">
        <v>21</v>
      </c>
      <c r="F119" s="54" t="s">
        <v>24</v>
      </c>
      <c r="G119" s="54" t="s">
        <v>497</v>
      </c>
      <c r="H119" s="85" t="s">
        <v>599</v>
      </c>
      <c r="I119" s="86" t="s">
        <v>646</v>
      </c>
      <c r="J119" s="87" t="s">
        <v>594</v>
      </c>
    </row>
    <row r="120" spans="1:10" ht="39.75" customHeight="1">
      <c r="A120" s="54" t="s">
        <v>145</v>
      </c>
      <c r="B120" s="54" t="str">
        <f>_xlfn.XLOOKUP(A120,'Enrollment &amp; Retention'!$A$3:$A$14,'Enrollment &amp; Retention'!$B$3:$B$14)</f>
        <v>Director of Enrollment &amp; Retention</v>
      </c>
      <c r="C120" s="54" t="s">
        <v>334</v>
      </c>
      <c r="D120" s="54" t="s">
        <v>148</v>
      </c>
      <c r="E120" s="54" t="s">
        <v>21</v>
      </c>
      <c r="F120" s="54" t="s">
        <v>25</v>
      </c>
      <c r="G120" s="54" t="s">
        <v>497</v>
      </c>
      <c r="H120" s="85" t="s">
        <v>503</v>
      </c>
      <c r="I120" s="86" t="s">
        <v>503</v>
      </c>
      <c r="J120" s="87" t="s">
        <v>503</v>
      </c>
    </row>
    <row r="121" spans="1:10" ht="39.75" customHeight="1">
      <c r="A121" s="54" t="s">
        <v>145</v>
      </c>
      <c r="B121" s="54" t="str">
        <f>_xlfn.XLOOKUP(A121,'Enrollment &amp; Retention'!$A$3:$A$14,'Enrollment &amp; Retention'!$B$3:$B$14)</f>
        <v>Director of Enrollment &amp; Retention</v>
      </c>
      <c r="C121" s="54" t="s">
        <v>334</v>
      </c>
      <c r="D121" s="54" t="s">
        <v>102</v>
      </c>
      <c r="E121" s="54" t="s">
        <v>53</v>
      </c>
      <c r="F121" s="54" t="s">
        <v>26</v>
      </c>
      <c r="G121" s="54" t="s">
        <v>502</v>
      </c>
      <c r="H121" s="85" t="s">
        <v>543</v>
      </c>
      <c r="I121" s="86" t="s">
        <v>544</v>
      </c>
      <c r="J121" s="87" t="s">
        <v>550</v>
      </c>
    </row>
    <row r="122" spans="1:10" ht="39.75" customHeight="1">
      <c r="A122" s="54" t="s">
        <v>145</v>
      </c>
      <c r="B122" s="54" t="str">
        <f>_xlfn.XLOOKUP(A122,'Enrollment &amp; Retention'!$A$3:$A$14,'Enrollment &amp; Retention'!$B$3:$B$14)</f>
        <v>Director of Enrollment &amp; Retention</v>
      </c>
      <c r="C122" s="54" t="s">
        <v>334</v>
      </c>
      <c r="D122" s="54" t="s">
        <v>103</v>
      </c>
      <c r="E122" s="54" t="s">
        <v>53</v>
      </c>
      <c r="F122" s="54" t="s">
        <v>27</v>
      </c>
      <c r="G122" s="54" t="s">
        <v>502</v>
      </c>
      <c r="H122" s="91">
        <v>0.75</v>
      </c>
    </row>
    <row r="123" spans="1:10" ht="39.75" customHeight="1">
      <c r="A123" s="88" t="s">
        <v>145</v>
      </c>
      <c r="B123" s="88" t="str">
        <f>_xlfn.XLOOKUP(A123,'Enrollment &amp; Retention'!$A$3:$A$14,'Enrollment &amp; Retention'!$B$3:$B$14)</f>
        <v>Director of Enrollment &amp; Retention</v>
      </c>
      <c r="C123" s="88" t="s">
        <v>334</v>
      </c>
      <c r="D123" s="88" t="s">
        <v>149</v>
      </c>
      <c r="E123" s="88" t="s">
        <v>53</v>
      </c>
      <c r="F123" s="88" t="s">
        <v>28</v>
      </c>
      <c r="G123" s="54" t="s">
        <v>502</v>
      </c>
    </row>
    <row r="124" spans="1:10" ht="39.75" customHeight="1">
      <c r="A124" s="54" t="s">
        <v>154</v>
      </c>
      <c r="B124" s="54" t="str">
        <f>_xlfn.XLOOKUP(A124,'Enrollment &amp; Retention'!$A$3:$A$14,'Enrollment &amp; Retention'!$B$3:$B$14)</f>
        <v>Mentoring Manager</v>
      </c>
      <c r="C124" s="54" t="s">
        <v>334</v>
      </c>
      <c r="D124" s="54" t="s">
        <v>157</v>
      </c>
      <c r="E124" s="54" t="s">
        <v>21</v>
      </c>
      <c r="F124" s="54" t="s">
        <v>23</v>
      </c>
      <c r="G124" s="54" t="s">
        <v>502</v>
      </c>
    </row>
    <row r="125" spans="1:10" ht="39.75" customHeight="1">
      <c r="A125" s="54" t="s">
        <v>154</v>
      </c>
      <c r="B125" s="54" t="str">
        <f>_xlfn.XLOOKUP(A125,'Enrollment &amp; Retention'!$A$3:$A$14,'Enrollment &amp; Retention'!$B$3:$B$14)</f>
        <v>Mentoring Manager</v>
      </c>
      <c r="C125" s="54" t="s">
        <v>334</v>
      </c>
      <c r="D125" s="54" t="s">
        <v>665</v>
      </c>
      <c r="E125" s="54" t="s">
        <v>21</v>
      </c>
      <c r="F125" s="54" t="s">
        <v>24</v>
      </c>
      <c r="G125" s="54" t="s">
        <v>502</v>
      </c>
    </row>
    <row r="126" spans="1:10" ht="39.75" customHeight="1">
      <c r="A126" s="54" t="s">
        <v>154</v>
      </c>
      <c r="B126" s="54" t="str">
        <f>_xlfn.XLOOKUP(A126,'Enrollment &amp; Retention'!$A$3:$A$14,'Enrollment &amp; Retention'!$B$3:$B$14)</f>
        <v>Mentoring Manager</v>
      </c>
      <c r="C126" s="54" t="s">
        <v>334</v>
      </c>
      <c r="D126" s="54" t="s">
        <v>102</v>
      </c>
      <c r="E126" s="54" t="s">
        <v>53</v>
      </c>
      <c r="F126" s="54" t="s">
        <v>26</v>
      </c>
      <c r="G126" s="54" t="s">
        <v>502</v>
      </c>
    </row>
    <row r="127" spans="1:10" ht="39.75" customHeight="1">
      <c r="A127" s="54" t="s">
        <v>154</v>
      </c>
      <c r="B127" s="54" t="str">
        <f>_xlfn.XLOOKUP(A127,'Enrollment &amp; Retention'!$A$3:$A$14,'Enrollment &amp; Retention'!$B$3:$B$14)</f>
        <v>Mentoring Manager</v>
      </c>
      <c r="C127" s="54" t="s">
        <v>334</v>
      </c>
      <c r="D127" s="54" t="s">
        <v>159</v>
      </c>
      <c r="E127" s="54" t="s">
        <v>53</v>
      </c>
      <c r="F127" s="54" t="s">
        <v>27</v>
      </c>
      <c r="G127" s="54" t="s">
        <v>502</v>
      </c>
    </row>
    <row r="128" spans="1:10" ht="39.75" customHeight="1">
      <c r="A128" s="54" t="s">
        <v>154</v>
      </c>
      <c r="B128" s="54" t="str">
        <f>_xlfn.XLOOKUP(A128,'Enrollment &amp; Retention'!$A$3:$A$14,'Enrollment &amp; Retention'!$B$3:$B$14)</f>
        <v>Mentoring Manager</v>
      </c>
      <c r="C128" s="54" t="s">
        <v>334</v>
      </c>
      <c r="D128" s="54" t="s">
        <v>160</v>
      </c>
      <c r="E128" s="54" t="s">
        <v>53</v>
      </c>
      <c r="F128" s="54" t="s">
        <v>28</v>
      </c>
      <c r="G128" s="54" t="s">
        <v>499</v>
      </c>
    </row>
    <row r="129" spans="1:7" ht="39.75" customHeight="1">
      <c r="A129" s="54" t="s">
        <v>161</v>
      </c>
      <c r="B129" s="54" t="str">
        <f>_xlfn.XLOOKUP(A129,'Enrollment &amp; Retention'!$A$3:$A$14,'Enrollment &amp; Retention'!$B$3:$B$14)</f>
        <v>Mentoring Content Coordinator</v>
      </c>
      <c r="C129" s="54" t="s">
        <v>334</v>
      </c>
      <c r="D129" s="54" t="s">
        <v>665</v>
      </c>
      <c r="E129" s="54" t="s">
        <v>21</v>
      </c>
      <c r="F129" s="54" t="s">
        <v>24</v>
      </c>
      <c r="G129" s="54" t="s">
        <v>502</v>
      </c>
    </row>
    <row r="130" spans="1:7" ht="39.75" customHeight="1">
      <c r="A130" s="54" t="s">
        <v>161</v>
      </c>
      <c r="B130" s="54" t="str">
        <f>_xlfn.XLOOKUP(A130,'Enrollment &amp; Retention'!$A$3:$A$14,'Enrollment &amp; Retention'!$B$3:$B$14)</f>
        <v>Mentoring Content Coordinator</v>
      </c>
      <c r="C130" s="54" t="s">
        <v>334</v>
      </c>
      <c r="D130" s="54" t="s">
        <v>159</v>
      </c>
      <c r="E130" s="54" t="s">
        <v>21</v>
      </c>
      <c r="F130" s="54" t="s">
        <v>24</v>
      </c>
      <c r="G130" s="54" t="s">
        <v>502</v>
      </c>
    </row>
    <row r="131" spans="1:7" ht="39.75" customHeight="1">
      <c r="A131" s="54" t="s">
        <v>166</v>
      </c>
      <c r="B131" s="54" t="str">
        <f>_xlfn.XLOOKUP(A131,'Enrollment &amp; Retention'!$A$3:$A$14,'Enrollment &amp; Retention'!$B$3:$B$14)</f>
        <v>Mentor Operations Coordinator</v>
      </c>
      <c r="C131" s="54" t="s">
        <v>334</v>
      </c>
      <c r="D131" s="54" t="s">
        <v>157</v>
      </c>
      <c r="E131" s="54" t="s">
        <v>21</v>
      </c>
      <c r="F131" s="54" t="s">
        <v>23</v>
      </c>
      <c r="G131" s="54" t="s">
        <v>502</v>
      </c>
    </row>
    <row r="132" spans="1:7" ht="39.75" customHeight="1">
      <c r="A132" s="54" t="s">
        <v>166</v>
      </c>
      <c r="B132" s="54" t="str">
        <f>_xlfn.XLOOKUP(A132,'Enrollment &amp; Retention'!$A$3:$A$14,'Enrollment &amp; Retention'!$B$3:$B$14)</f>
        <v>Mentor Operations Coordinator</v>
      </c>
      <c r="C132" s="54" t="s">
        <v>334</v>
      </c>
      <c r="D132" s="54" t="s">
        <v>169</v>
      </c>
      <c r="E132" s="54" t="s">
        <v>21</v>
      </c>
      <c r="F132" s="54" t="s">
        <v>24</v>
      </c>
      <c r="G132" s="54" t="s">
        <v>497</v>
      </c>
    </row>
    <row r="133" spans="1:7" ht="39.75" customHeight="1">
      <c r="A133" s="54" t="s">
        <v>170</v>
      </c>
      <c r="B133" s="54" t="str">
        <f>_xlfn.XLOOKUP(A133,'Enrollment &amp; Retention'!$A$3:$A$14,'Enrollment &amp; Retention'!$B$3:$B$14)</f>
        <v>Senior Manager of Enrollment Services</v>
      </c>
      <c r="C133" s="54" t="s">
        <v>334</v>
      </c>
      <c r="D133" s="54" t="s">
        <v>666</v>
      </c>
      <c r="E133" s="54" t="s">
        <v>53</v>
      </c>
      <c r="F133" s="54" t="s">
        <v>26</v>
      </c>
      <c r="G133" s="54" t="s">
        <v>497</v>
      </c>
    </row>
    <row r="134" spans="1:7" ht="39.75" customHeight="1">
      <c r="A134" s="54" t="s">
        <v>170</v>
      </c>
      <c r="B134" s="54" t="str">
        <f>_xlfn.XLOOKUP(A134,'Enrollment &amp; Retention'!$A$3:$A$14,'Enrollment &amp; Retention'!$B$3:$B$14)</f>
        <v>Senior Manager of Enrollment Services</v>
      </c>
      <c r="C134" s="54" t="s">
        <v>334</v>
      </c>
      <c r="D134" s="54" t="s">
        <v>667</v>
      </c>
      <c r="E134" s="54" t="s">
        <v>53</v>
      </c>
      <c r="F134" s="54" t="s">
        <v>26</v>
      </c>
      <c r="G134" s="54" t="s">
        <v>497</v>
      </c>
    </row>
    <row r="135" spans="1:7" ht="39.75" customHeight="1">
      <c r="A135" s="54" t="s">
        <v>170</v>
      </c>
      <c r="B135" s="54" t="str">
        <f>_xlfn.XLOOKUP(A135,'Enrollment &amp; Retention'!$A$3:$A$14,'Enrollment &amp; Retention'!$B$3:$B$14)</f>
        <v>Senior Manager of Enrollment Services</v>
      </c>
      <c r="C135" s="54" t="s">
        <v>334</v>
      </c>
      <c r="D135" s="54" t="s">
        <v>668</v>
      </c>
      <c r="E135" s="54" t="s">
        <v>53</v>
      </c>
      <c r="F135" s="54" t="s">
        <v>28</v>
      </c>
      <c r="G135" s="54" t="s">
        <v>502</v>
      </c>
    </row>
    <row r="136" spans="1:7" ht="39.75" customHeight="1">
      <c r="A136" s="54" t="s">
        <v>170</v>
      </c>
      <c r="B136" s="54" t="str">
        <f>_xlfn.XLOOKUP(A136,'Enrollment &amp; Retention'!$A$3:$A$14,'Enrollment &amp; Retention'!$B$3:$B$14)</f>
        <v>Senior Manager of Enrollment Services</v>
      </c>
      <c r="C136" s="54" t="s">
        <v>334</v>
      </c>
      <c r="D136" s="54" t="s">
        <v>669</v>
      </c>
      <c r="E136" s="54" t="s">
        <v>53</v>
      </c>
      <c r="F136" s="54" t="s">
        <v>28</v>
      </c>
      <c r="G136" s="54" t="s">
        <v>502</v>
      </c>
    </row>
    <row r="137" spans="1:7" ht="39.75" customHeight="1">
      <c r="A137" s="54" t="s">
        <v>170</v>
      </c>
      <c r="B137" s="54" t="str">
        <f>_xlfn.XLOOKUP(A137,'Enrollment &amp; Retention'!$A$3:$A$14,'Enrollment &amp; Retention'!$B$3:$B$14)</f>
        <v>Senior Manager of Enrollment Services</v>
      </c>
      <c r="C137" s="54" t="s">
        <v>334</v>
      </c>
      <c r="D137" s="54" t="s">
        <v>670</v>
      </c>
      <c r="E137" s="54" t="s">
        <v>53</v>
      </c>
      <c r="F137" s="54" t="s">
        <v>28</v>
      </c>
      <c r="G137" s="54" t="s">
        <v>502</v>
      </c>
    </row>
    <row r="138" spans="1:7" ht="39.75" customHeight="1">
      <c r="A138" s="54" t="s">
        <v>175</v>
      </c>
      <c r="B138" s="54" t="str">
        <f>_xlfn.XLOOKUP(A138,'Enrollment &amp; Retention'!$A$3:$A$14,'Enrollment &amp; Retention'!$B$3:$B$14)</f>
        <v>Enrollment Counseling Manager</v>
      </c>
      <c r="C138" s="54" t="s">
        <v>334</v>
      </c>
      <c r="D138" s="54" t="s">
        <v>671</v>
      </c>
      <c r="E138" s="54" t="s">
        <v>21</v>
      </c>
      <c r="F138" s="54" t="s">
        <v>23</v>
      </c>
      <c r="G138" s="54" t="s">
        <v>497</v>
      </c>
    </row>
    <row r="139" spans="1:7" ht="39.75" customHeight="1">
      <c r="A139" s="54" t="s">
        <v>175</v>
      </c>
      <c r="B139" s="54" t="str">
        <f>_xlfn.XLOOKUP(A139,'Enrollment &amp; Retention'!$A$3:$A$14,'Enrollment &amp; Retention'!$B$3:$B$14)</f>
        <v>Enrollment Counseling Manager</v>
      </c>
      <c r="C139" s="54" t="s">
        <v>334</v>
      </c>
      <c r="D139" s="54" t="s">
        <v>672</v>
      </c>
      <c r="E139" s="54" t="s">
        <v>21</v>
      </c>
      <c r="F139" s="54" t="s">
        <v>23</v>
      </c>
      <c r="G139" s="54" t="s">
        <v>499</v>
      </c>
    </row>
    <row r="140" spans="1:7" ht="39.75" customHeight="1">
      <c r="A140" s="54" t="s">
        <v>175</v>
      </c>
      <c r="B140" s="54" t="str">
        <f>_xlfn.XLOOKUP(A140,'Enrollment &amp; Retention'!$A$3:$A$14,'Enrollment &amp; Retention'!$B$3:$B$14)</f>
        <v>Enrollment Counseling Manager</v>
      </c>
      <c r="C140" s="54" t="s">
        <v>334</v>
      </c>
      <c r="D140" s="54" t="s">
        <v>673</v>
      </c>
      <c r="E140" s="54" t="s">
        <v>21</v>
      </c>
      <c r="F140" s="54" t="s">
        <v>24</v>
      </c>
      <c r="G140" s="54" t="s">
        <v>502</v>
      </c>
    </row>
    <row r="141" spans="1:7" ht="39.75" customHeight="1">
      <c r="A141" s="54" t="s">
        <v>175</v>
      </c>
      <c r="B141" s="54" t="str">
        <f>_xlfn.XLOOKUP(A141,'Enrollment &amp; Retention'!$A$3:$A$14,'Enrollment &amp; Retention'!$B$3:$B$14)</f>
        <v>Enrollment Counseling Manager</v>
      </c>
      <c r="C141" s="54" t="s">
        <v>334</v>
      </c>
      <c r="D141" s="54" t="s">
        <v>674</v>
      </c>
      <c r="E141" s="54" t="s">
        <v>21</v>
      </c>
      <c r="F141" s="54" t="s">
        <v>24</v>
      </c>
      <c r="G141" s="54" t="s">
        <v>499</v>
      </c>
    </row>
    <row r="142" spans="1:7" ht="48.75" customHeight="1">
      <c r="A142" s="54" t="s">
        <v>180</v>
      </c>
      <c r="B142" s="54" t="str">
        <f>_xlfn.XLOOKUP(A142,'Enrollment &amp; Retention'!$A$3:$A$14,'Enrollment &amp; Retention'!$B$3:$B$14)</f>
        <v>Enrollment Counseling Development and Performance Coordinator</v>
      </c>
      <c r="C142" s="54" t="s">
        <v>334</v>
      </c>
      <c r="D142" s="54" t="s">
        <v>673</v>
      </c>
      <c r="E142" s="54" t="s">
        <v>21</v>
      </c>
      <c r="F142" s="54" t="s">
        <v>24</v>
      </c>
      <c r="G142" s="54" t="s">
        <v>502</v>
      </c>
    </row>
    <row r="143" spans="1:7" ht="53.25" customHeight="1">
      <c r="A143" s="54" t="s">
        <v>180</v>
      </c>
      <c r="B143" s="54" t="str">
        <f>_xlfn.XLOOKUP(A143,'Enrollment &amp; Retention'!$A$3:$A$14,'Enrollment &amp; Retention'!$B$3:$B$14)</f>
        <v>Enrollment Counseling Development and Performance Coordinator</v>
      </c>
      <c r="C143" s="54" t="s">
        <v>334</v>
      </c>
      <c r="D143" s="54" t="s">
        <v>674</v>
      </c>
      <c r="E143" s="54" t="s">
        <v>21</v>
      </c>
      <c r="F143" s="54" t="s">
        <v>24</v>
      </c>
      <c r="G143" s="54" t="s">
        <v>499</v>
      </c>
    </row>
    <row r="144" spans="1:7" ht="39.75" customHeight="1">
      <c r="A144" s="54" t="s">
        <v>183</v>
      </c>
      <c r="B144" s="54" t="str">
        <f>_xlfn.XLOOKUP(A144,'Enrollment &amp; Retention'!$A$3:$A$14,'Enrollment &amp; Retention'!$B$3:$B$14)</f>
        <v>Enrollment Counseling Operations Coordinator</v>
      </c>
      <c r="C144" s="54" t="s">
        <v>334</v>
      </c>
      <c r="D144" s="54" t="s">
        <v>671</v>
      </c>
      <c r="E144" s="54" t="s">
        <v>21</v>
      </c>
      <c r="F144" s="54" t="s">
        <v>23</v>
      </c>
      <c r="G144" s="54" t="s">
        <v>497</v>
      </c>
    </row>
    <row r="145" spans="1:7" ht="39.75" customHeight="1">
      <c r="A145" s="54" t="s">
        <v>183</v>
      </c>
      <c r="B145" s="54" t="str">
        <f>_xlfn.XLOOKUP(A145,'Enrollment &amp; Retention'!$A$3:$A$14,'Enrollment &amp; Retention'!$B$3:$B$14)</f>
        <v>Enrollment Counseling Operations Coordinator</v>
      </c>
      <c r="C145" s="54" t="s">
        <v>334</v>
      </c>
      <c r="D145" s="54" t="s">
        <v>672</v>
      </c>
      <c r="E145" s="54" t="s">
        <v>21</v>
      </c>
      <c r="F145" s="54" t="s">
        <v>23</v>
      </c>
      <c r="G145" s="54" t="s">
        <v>499</v>
      </c>
    </row>
    <row r="146" spans="1:7" ht="39.75" customHeight="1">
      <c r="A146" s="54" t="s">
        <v>186</v>
      </c>
      <c r="B146" s="54" t="str">
        <f>_xlfn.XLOOKUP(A146,'Enrollment &amp; Retention'!$A$3:$A$14,'Enrollment &amp; Retention'!$B$3:$B$14)</f>
        <v xml:space="preserve">Enrollment Coordinator </v>
      </c>
      <c r="C146" s="54" t="s">
        <v>334</v>
      </c>
      <c r="D146" s="54" t="s">
        <v>675</v>
      </c>
      <c r="E146" s="54" t="s">
        <v>21</v>
      </c>
      <c r="F146" s="54" t="s">
        <v>23</v>
      </c>
      <c r="G146" s="54" t="s">
        <v>499</v>
      </c>
    </row>
    <row r="147" spans="1:7" ht="39.75" customHeight="1">
      <c r="A147" s="54" t="s">
        <v>186</v>
      </c>
      <c r="B147" s="54" t="str">
        <f>_xlfn.XLOOKUP(A147,'Enrollment &amp; Retention'!$A$3:$A$14,'Enrollment &amp; Retention'!$B$3:$B$14)</f>
        <v xml:space="preserve">Enrollment Coordinator </v>
      </c>
      <c r="C147" s="54" t="s">
        <v>334</v>
      </c>
      <c r="D147" s="54" t="s">
        <v>676</v>
      </c>
      <c r="E147" s="54" t="s">
        <v>21</v>
      </c>
      <c r="F147" s="54" t="s">
        <v>23</v>
      </c>
      <c r="G147" s="54" t="s">
        <v>499</v>
      </c>
    </row>
    <row r="148" spans="1:7" ht="39.75" customHeight="1">
      <c r="A148" s="54" t="s">
        <v>186</v>
      </c>
      <c r="B148" s="54" t="str">
        <f>_xlfn.XLOOKUP(A148,'Enrollment &amp; Retention'!$A$3:$A$14,'Enrollment &amp; Retention'!$B$3:$B$14)</f>
        <v xml:space="preserve">Enrollment Coordinator </v>
      </c>
      <c r="C148" s="54" t="s">
        <v>334</v>
      </c>
      <c r="D148" s="54" t="s">
        <v>677</v>
      </c>
      <c r="E148" s="54" t="s">
        <v>21</v>
      </c>
      <c r="F148" s="54" t="s">
        <v>23</v>
      </c>
      <c r="G148" s="54" t="s">
        <v>499</v>
      </c>
    </row>
    <row r="149" spans="1:7" ht="39.75" customHeight="1">
      <c r="A149" s="54" t="s">
        <v>186</v>
      </c>
      <c r="B149" s="54" t="str">
        <f>_xlfn.XLOOKUP(A149,'Enrollment &amp; Retention'!$A$3:$A$14,'Enrollment &amp; Retention'!$B$3:$B$14)</f>
        <v xml:space="preserve">Enrollment Coordinator </v>
      </c>
      <c r="C149" s="54" t="s">
        <v>334</v>
      </c>
      <c r="D149" s="54" t="s">
        <v>678</v>
      </c>
      <c r="E149" s="54" t="s">
        <v>21</v>
      </c>
      <c r="F149" s="54" t="s">
        <v>24</v>
      </c>
      <c r="G149" s="54" t="s">
        <v>497</v>
      </c>
    </row>
    <row r="150" spans="1:7" ht="39.75" customHeight="1">
      <c r="A150" s="54" t="s">
        <v>186</v>
      </c>
      <c r="B150" s="54" t="str">
        <f>_xlfn.XLOOKUP(A150,'Enrollment &amp; Retention'!$A$3:$A$14,'Enrollment &amp; Retention'!$B$3:$B$14)</f>
        <v xml:space="preserve">Enrollment Coordinator </v>
      </c>
      <c r="C150" s="54" t="s">
        <v>334</v>
      </c>
      <c r="D150" s="54" t="s">
        <v>679</v>
      </c>
      <c r="E150" s="54" t="s">
        <v>21</v>
      </c>
      <c r="F150" s="54" t="s">
        <v>24</v>
      </c>
      <c r="G150" s="54" t="s">
        <v>497</v>
      </c>
    </row>
    <row r="151" spans="1:7" ht="39.75" customHeight="1">
      <c r="A151" s="54" t="s">
        <v>191</v>
      </c>
      <c r="B151" s="54" t="str">
        <f>_xlfn.XLOOKUP(A151,'Enrollment &amp; Retention'!$A$3:$A$14,'Enrollment &amp; Retention'!$B$3:$B$14)</f>
        <v xml:space="preserve">Enrollment Services Specialist </v>
      </c>
      <c r="C151" s="54" t="s">
        <v>334</v>
      </c>
      <c r="D151" s="54" t="s">
        <v>680</v>
      </c>
      <c r="E151" s="54" t="s">
        <v>21</v>
      </c>
      <c r="F151" s="54" t="s">
        <v>23</v>
      </c>
      <c r="G151" s="54" t="s">
        <v>497</v>
      </c>
    </row>
    <row r="152" spans="1:7" ht="39.75" customHeight="1">
      <c r="A152" s="54" t="s">
        <v>191</v>
      </c>
      <c r="B152" s="54" t="str">
        <f>_xlfn.XLOOKUP(A152,'Enrollment &amp; Retention'!$A$3:$A$14,'Enrollment &amp; Retention'!$B$3:$B$14)</f>
        <v xml:space="preserve">Enrollment Services Specialist </v>
      </c>
      <c r="C152" s="54" t="s">
        <v>334</v>
      </c>
      <c r="D152" s="54" t="s">
        <v>681</v>
      </c>
      <c r="E152" s="54" t="s">
        <v>21</v>
      </c>
      <c r="F152" s="54" t="s">
        <v>23</v>
      </c>
      <c r="G152" s="54" t="s">
        <v>497</v>
      </c>
    </row>
    <row r="153" spans="1:7" ht="39.75" customHeight="1">
      <c r="A153" s="54" t="s">
        <v>191</v>
      </c>
      <c r="B153" s="54" t="str">
        <f>_xlfn.XLOOKUP(A153,'Enrollment &amp; Retention'!$A$3:$A$14,'Enrollment &amp; Retention'!$B$3:$B$14)</f>
        <v xml:space="preserve">Enrollment Services Specialist </v>
      </c>
      <c r="C153" s="54" t="s">
        <v>334</v>
      </c>
      <c r="D153" s="54" t="s">
        <v>682</v>
      </c>
      <c r="E153" s="54" t="s">
        <v>21</v>
      </c>
      <c r="F153" s="54" t="s">
        <v>24</v>
      </c>
      <c r="G153" s="54" t="s">
        <v>497</v>
      </c>
    </row>
    <row r="154" spans="1:7" ht="39.75" customHeight="1">
      <c r="A154" s="54" t="s">
        <v>191</v>
      </c>
      <c r="B154" s="54" t="str">
        <f>_xlfn.XLOOKUP(A154,'Enrollment &amp; Retention'!$A$3:$A$14,'Enrollment &amp; Retention'!$B$3:$B$14)</f>
        <v xml:space="preserve">Enrollment Services Specialist </v>
      </c>
      <c r="C154" s="54" t="s">
        <v>334</v>
      </c>
      <c r="D154" s="54" t="s">
        <v>683</v>
      </c>
      <c r="E154" s="54" t="s">
        <v>21</v>
      </c>
      <c r="F154" s="54" t="s">
        <v>24</v>
      </c>
      <c r="G154" s="54" t="s">
        <v>497</v>
      </c>
    </row>
    <row r="155" spans="1:7" ht="39.75" customHeight="1">
      <c r="B155" s="54" t="s">
        <v>196</v>
      </c>
      <c r="C155" s="54" t="s">
        <v>334</v>
      </c>
      <c r="D155" s="54" t="s">
        <v>198</v>
      </c>
      <c r="E155" s="54" t="s">
        <v>21</v>
      </c>
      <c r="F155" s="54" t="s">
        <v>23</v>
      </c>
      <c r="G155" s="54" t="s">
        <v>497</v>
      </c>
    </row>
    <row r="156" spans="1:7" ht="39.75" customHeight="1">
      <c r="B156" s="54" t="s">
        <v>196</v>
      </c>
      <c r="C156" s="54" t="s">
        <v>334</v>
      </c>
      <c r="D156" s="54" t="s">
        <v>199</v>
      </c>
      <c r="E156" s="54" t="s">
        <v>21</v>
      </c>
      <c r="F156" s="54" t="s">
        <v>24</v>
      </c>
      <c r="G156" s="54" t="s">
        <v>497</v>
      </c>
    </row>
    <row r="157" spans="1:7" ht="39.75" customHeight="1"/>
    <row r="158" spans="1:7" ht="39.75" customHeight="1"/>
    <row r="159" spans="1:7" ht="39.75" customHeight="1"/>
  </sheetData>
  <autoFilter ref="A1:J156" xr:uid="{7FC4FAD3-B302-4C1F-88CF-4979117F7818}">
    <filterColumn colId="2">
      <filters>
        <filter val="Digital Operations"/>
      </filters>
    </filterColumn>
    <filterColumn colId="7" showButton="0"/>
    <filterColumn colId="8" showButton="0"/>
  </autoFilter>
  <mergeCells count="1">
    <mergeCell ref="H1:J1"/>
  </mergeCells>
  <dataValidations count="3">
    <dataValidation type="list" allowBlank="1" showInputMessage="1" showErrorMessage="1" sqref="E2:E1048576" xr:uid="{B7E8A9A9-D259-4FCD-B070-1DACD2AAA77D}">
      <formula1>"Operational Outcomes, Student Outcomes"</formula1>
    </dataValidation>
    <dataValidation type="list" allowBlank="1" showInputMessage="1" showErrorMessage="1" sqref="F1:F1048576" xr:uid="{99FF9223-597D-4D4A-9D32-B77B3503F9CE}">
      <formula1>"Cost, Quality, Speed, Autonomy, Satisfaction, Completion"</formula1>
    </dataValidation>
    <dataValidation type="list" allowBlank="1" showInputMessage="1" showErrorMessage="1" sqref="G1:G1048576" xr:uid="{6CC1A24C-CED6-4C16-9440-67A03A4CAF1C}">
      <formula1>$N$2:$N$4</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C7D88-B263-4B3A-BCB2-A7B49C91D90B}">
  <sheetPr filterMode="1"/>
  <dimension ref="A1:X155"/>
  <sheetViews>
    <sheetView tabSelected="1" workbookViewId="0">
      <pane xSplit="4" ySplit="2" topLeftCell="E37" activePane="bottomRight" state="frozen"/>
      <selection pane="bottomRight" activeCell="L47" sqref="L47"/>
      <selection pane="bottomLeft" activeCell="A3" sqref="A3"/>
      <selection pane="topRight" activeCell="E1" sqref="E1"/>
    </sheetView>
  </sheetViews>
  <sheetFormatPr defaultColWidth="0" defaultRowHeight="39.75" customHeight="1" zeroHeight="1"/>
  <cols>
    <col min="1" max="1" width="18.85546875" style="54" customWidth="1"/>
    <col min="2" max="2" width="23.140625" style="54" customWidth="1"/>
    <col min="3" max="3" width="24.7109375" style="54" customWidth="1"/>
    <col min="4" max="4" width="28.5703125" style="54" customWidth="1"/>
    <col min="5" max="5" width="22" style="54" customWidth="1"/>
    <col min="6" max="6" width="19.7109375" style="54" customWidth="1"/>
    <col min="7" max="7" width="17.5703125" style="54" customWidth="1"/>
    <col min="8" max="8" width="14.28515625" style="93" customWidth="1"/>
    <col min="9" max="9" width="14.28515625" style="83" customWidth="1"/>
    <col min="10" max="10" width="14.28515625" style="84" customWidth="1"/>
    <col min="11" max="11" width="14.28515625" style="87" customWidth="1"/>
    <col min="12" max="12" width="14.42578125" style="101" customWidth="1"/>
    <col min="13" max="13" width="19.7109375" style="54" customWidth="1"/>
    <col min="14" max="14" width="34.5703125" style="54" customWidth="1"/>
    <col min="15" max="15" width="18.5703125" style="54" customWidth="1"/>
    <col min="16" max="17" width="15.5703125" style="54" customWidth="1"/>
    <col min="18" max="18" width="17.5703125" style="54" customWidth="1"/>
    <col min="19" max="19" width="13.42578125" style="54" customWidth="1"/>
    <col min="20" max="20" width="12" style="54" customWidth="1"/>
    <col min="21" max="21" width="20.85546875" style="54" customWidth="1"/>
    <col min="22" max="22" width="12.5703125" style="54" customWidth="1"/>
    <col min="23" max="23" width="15.7109375" style="54" customWidth="1"/>
    <col min="24" max="24" width="17.140625" style="54" customWidth="1"/>
    <col min="25" max="16384" width="0" style="54" hidden="1"/>
  </cols>
  <sheetData>
    <row r="1" spans="1:24" ht="15" customHeight="1">
      <c r="A1" s="143" t="s">
        <v>684</v>
      </c>
      <c r="B1" s="143"/>
      <c r="C1" s="143"/>
      <c r="D1" s="143"/>
      <c r="E1" s="143"/>
      <c r="F1" s="143"/>
      <c r="G1" s="143"/>
      <c r="H1" s="143"/>
      <c r="I1" s="136"/>
      <c r="J1" s="136"/>
      <c r="K1" s="104"/>
      <c r="Q1" s="106"/>
      <c r="R1" s="142" t="s">
        <v>685</v>
      </c>
      <c r="S1" s="142"/>
      <c r="T1" s="142"/>
    </row>
    <row r="2" spans="1:24" ht="22.5" customHeight="1">
      <c r="A2" s="1" t="s">
        <v>487</v>
      </c>
      <c r="B2" s="1" t="s">
        <v>55</v>
      </c>
      <c r="C2" s="1" t="s">
        <v>488</v>
      </c>
      <c r="D2" s="105" t="s">
        <v>489</v>
      </c>
      <c r="E2" s="1" t="s">
        <v>490</v>
      </c>
      <c r="F2" s="1" t="s">
        <v>491</v>
      </c>
      <c r="G2" s="1" t="s">
        <v>492</v>
      </c>
      <c r="H2" s="141" t="s">
        <v>493</v>
      </c>
      <c r="I2" s="141"/>
      <c r="J2" s="141"/>
      <c r="K2" s="1" t="s">
        <v>686</v>
      </c>
      <c r="L2" s="1" t="s">
        <v>687</v>
      </c>
      <c r="M2" s="1" t="s">
        <v>688</v>
      </c>
      <c r="N2" s="1" t="s">
        <v>689</v>
      </c>
      <c r="O2" s="1" t="s">
        <v>690</v>
      </c>
      <c r="P2" s="109" t="s">
        <v>691</v>
      </c>
      <c r="Q2" s="107"/>
      <c r="R2" s="103" t="s">
        <v>692</v>
      </c>
      <c r="S2" s="103" t="s">
        <v>693</v>
      </c>
      <c r="T2" s="103" t="s">
        <v>694</v>
      </c>
      <c r="U2" s="144" t="s">
        <v>494</v>
      </c>
      <c r="V2" s="144"/>
      <c r="W2" s="144"/>
      <c r="X2" s="144"/>
    </row>
    <row r="3" spans="1:24" ht="39.75" customHeight="1">
      <c r="A3" s="54" t="s">
        <v>58</v>
      </c>
      <c r="B3" s="54" t="s">
        <v>59</v>
      </c>
      <c r="C3" s="54" t="s">
        <v>495</v>
      </c>
      <c r="D3" s="54" t="s">
        <v>496</v>
      </c>
      <c r="E3" s="54" t="s">
        <v>21</v>
      </c>
      <c r="F3" s="54" t="s">
        <v>24</v>
      </c>
      <c r="G3" s="54" t="s">
        <v>497</v>
      </c>
      <c r="H3" s="93">
        <v>0</v>
      </c>
      <c r="I3" s="83">
        <v>0</v>
      </c>
      <c r="J3" s="84" t="s">
        <v>498</v>
      </c>
      <c r="K3" s="101" t="s">
        <v>695</v>
      </c>
      <c r="L3" s="101">
        <v>0</v>
      </c>
      <c r="M3" s="101" t="str">
        <f>IF(K3="Not Tracking","Not Tracked",IF(L3="","No Data",IF(R3="Higher is Better",IF(L3&gt;=S3,"Green",IF(L3&gt;=T3,"Yellow","Red")),IF(R3="Lower is Better",IF(L3&lt;=S3,"Green",IF(L3&lt;=T3,"Yellow","Red")),"Manual Review"))))</f>
        <v>Green</v>
      </c>
      <c r="N3" s="131" t="s">
        <v>696</v>
      </c>
      <c r="O3" s="111" t="s">
        <v>390</v>
      </c>
      <c r="P3" s="110"/>
      <c r="Q3" s="108"/>
      <c r="R3" s="102" t="s">
        <v>697</v>
      </c>
      <c r="S3" s="102">
        <v>0</v>
      </c>
      <c r="T3" s="102">
        <v>1</v>
      </c>
      <c r="U3" s="114" t="s">
        <v>697</v>
      </c>
      <c r="V3" s="114" t="s">
        <v>698</v>
      </c>
      <c r="W3" s="114" t="s">
        <v>499</v>
      </c>
      <c r="X3" s="114" t="s">
        <v>695</v>
      </c>
    </row>
    <row r="4" spans="1:24" ht="39.75" customHeight="1">
      <c r="A4" s="54" t="s">
        <v>58</v>
      </c>
      <c r="B4" s="54" t="s">
        <v>59</v>
      </c>
      <c r="C4" s="54" t="s">
        <v>495</v>
      </c>
      <c r="D4" s="54" t="s">
        <v>500</v>
      </c>
      <c r="E4" s="54" t="s">
        <v>21</v>
      </c>
      <c r="F4" s="54" t="s">
        <v>24</v>
      </c>
      <c r="G4" s="54" t="s">
        <v>497</v>
      </c>
      <c r="H4" s="93">
        <v>0</v>
      </c>
      <c r="I4" s="83">
        <v>0</v>
      </c>
      <c r="J4" s="84" t="s">
        <v>498</v>
      </c>
      <c r="K4" s="101" t="s">
        <v>695</v>
      </c>
      <c r="L4" s="101">
        <v>0</v>
      </c>
      <c r="M4" s="101" t="str">
        <f>IF(K4="Not Tracking","Not Tracked",IF(L4="","No Data",IF(R4="Higher is Better",IF(L4&gt;=S4,"Green",IF(L4&gt;=T4,"Yellow","Red")),IF(R4="Lower is Better",IF(L4&lt;=S4,"Green",IF(L4&lt;=T4,"Yellow","Red")),"Manual Review"))))</f>
        <v>Green</v>
      </c>
      <c r="N4" s="131" t="s">
        <v>696</v>
      </c>
      <c r="O4" s="111" t="s">
        <v>390</v>
      </c>
      <c r="P4" s="110"/>
      <c r="Q4" s="108"/>
      <c r="R4" s="102" t="s">
        <v>697</v>
      </c>
      <c r="S4" s="102">
        <v>0</v>
      </c>
      <c r="T4" s="102">
        <v>1</v>
      </c>
      <c r="U4" s="114" t="s">
        <v>699</v>
      </c>
      <c r="V4" s="114" t="s">
        <v>390</v>
      </c>
      <c r="W4" s="114" t="s">
        <v>497</v>
      </c>
      <c r="X4" s="114" t="s">
        <v>700</v>
      </c>
    </row>
    <row r="5" spans="1:24" ht="39.75" customHeight="1">
      <c r="A5" s="54" t="s">
        <v>58</v>
      </c>
      <c r="B5" s="54" t="s">
        <v>59</v>
      </c>
      <c r="C5" s="54" t="s">
        <v>495</v>
      </c>
      <c r="D5" s="54" t="s">
        <v>501</v>
      </c>
      <c r="E5" s="54" t="s">
        <v>21</v>
      </c>
      <c r="F5" s="54" t="s">
        <v>24</v>
      </c>
      <c r="G5" s="54" t="s">
        <v>497</v>
      </c>
      <c r="H5" s="93">
        <v>0</v>
      </c>
      <c r="I5" s="83">
        <v>0</v>
      </c>
      <c r="J5" s="84" t="s">
        <v>498</v>
      </c>
      <c r="K5" s="101" t="s">
        <v>695</v>
      </c>
      <c r="L5" s="101">
        <v>0</v>
      </c>
      <c r="M5" s="101" t="str">
        <f t="shared" ref="M4:M70" si="0">IF(K5="Not Tracking","Not Tracked",IF(L5="","No Data",IF(R5="Higher is Better",IF(L5&gt;=S5,"Green",IF(L5&gt;=T5,"Yellow","Red")),IF(R5="Lower is Better",IF(L5&lt;=S5,"Green",IF(L5&lt;=T5,"Yellow","Red")),"Manual Review"))))</f>
        <v>Green</v>
      </c>
      <c r="N5" s="131" t="s">
        <v>696</v>
      </c>
      <c r="O5" s="111" t="s">
        <v>390</v>
      </c>
      <c r="P5" s="110"/>
      <c r="Q5" s="108"/>
      <c r="R5" s="102" t="s">
        <v>697</v>
      </c>
      <c r="S5" s="102">
        <v>0</v>
      </c>
      <c r="T5" s="102">
        <v>1</v>
      </c>
      <c r="U5" s="114" t="s">
        <v>701</v>
      </c>
      <c r="V5" s="114" t="s">
        <v>702</v>
      </c>
      <c r="W5" s="114" t="s">
        <v>502</v>
      </c>
      <c r="X5" s="114" t="s">
        <v>703</v>
      </c>
    </row>
    <row r="6" spans="1:24" ht="39.75" hidden="1" customHeight="1">
      <c r="A6" s="54" t="s">
        <v>58</v>
      </c>
      <c r="B6" s="54" t="s">
        <v>59</v>
      </c>
      <c r="C6" s="54" t="s">
        <v>495</v>
      </c>
      <c r="D6" s="54" t="s">
        <v>63</v>
      </c>
      <c r="E6" s="54" t="s">
        <v>21</v>
      </c>
      <c r="F6" s="54" t="s">
        <v>25</v>
      </c>
      <c r="G6" s="54" t="s">
        <v>497</v>
      </c>
      <c r="H6" s="93" t="s">
        <v>503</v>
      </c>
      <c r="I6" s="83" t="s">
        <v>503</v>
      </c>
      <c r="J6" s="84" t="s">
        <v>503</v>
      </c>
      <c r="K6" s="101" t="s">
        <v>700</v>
      </c>
      <c r="M6" s="101" t="str">
        <f t="shared" si="0"/>
        <v>Not Tracked</v>
      </c>
      <c r="O6" s="111" t="s">
        <v>390</v>
      </c>
      <c r="P6" s="110"/>
      <c r="Q6" s="108"/>
      <c r="R6" s="102" t="s">
        <v>699</v>
      </c>
      <c r="S6" s="102"/>
      <c r="T6" s="102"/>
      <c r="U6" s="115"/>
      <c r="V6" s="114" t="s">
        <v>704</v>
      </c>
      <c r="W6" s="115"/>
      <c r="X6" s="114"/>
    </row>
    <row r="7" spans="1:24" ht="39.75" customHeight="1">
      <c r="A7" s="54" t="s">
        <v>58</v>
      </c>
      <c r="B7" s="54" t="s">
        <v>59</v>
      </c>
      <c r="C7" s="54" t="s">
        <v>495</v>
      </c>
      <c r="D7" s="54" t="s">
        <v>64</v>
      </c>
      <c r="E7" s="54" t="s">
        <v>53</v>
      </c>
      <c r="F7" s="54" t="s">
        <v>504</v>
      </c>
      <c r="G7" s="54" t="s">
        <v>502</v>
      </c>
      <c r="H7" s="93" t="s">
        <v>705</v>
      </c>
      <c r="I7" s="83" t="s">
        <v>706</v>
      </c>
      <c r="J7" s="84" t="s">
        <v>707</v>
      </c>
      <c r="K7" s="101" t="s">
        <v>695</v>
      </c>
      <c r="L7" s="117">
        <v>0.69</v>
      </c>
      <c r="M7" s="101" t="str">
        <f>IF(K7="Not Tracking","Not Tracked",IF(L7="","No Data",IF(R7="Higher is Better",IF(L7&gt;=S7,"Green",IF(L7&gt;=T7,"Yellow","Red")),IF(R7="Lower is Better",IF(L7&lt;=S7,"Green",IF(L7&lt;=T7,"Yellow","Red")),"Manual Review"))))</f>
        <v>Yellow</v>
      </c>
      <c r="N7" s="112" t="s">
        <v>708</v>
      </c>
      <c r="O7" s="111" t="s">
        <v>709</v>
      </c>
      <c r="P7" s="110"/>
      <c r="Q7" s="108"/>
      <c r="R7" s="102" t="s">
        <v>701</v>
      </c>
      <c r="S7" s="113">
        <v>0.75</v>
      </c>
      <c r="T7" s="113">
        <v>0.65</v>
      </c>
      <c r="U7" s="115"/>
      <c r="V7" s="114" t="s">
        <v>709</v>
      </c>
      <c r="W7" s="115"/>
      <c r="X7" s="114"/>
    </row>
    <row r="8" spans="1:24" ht="39.75" hidden="1" customHeight="1">
      <c r="B8" s="54" t="s">
        <v>196</v>
      </c>
      <c r="C8" s="54" t="s">
        <v>495</v>
      </c>
      <c r="D8" s="54" t="s">
        <v>198</v>
      </c>
      <c r="E8" s="54" t="s">
        <v>21</v>
      </c>
      <c r="F8" s="54" t="s">
        <v>23</v>
      </c>
      <c r="G8" s="54" t="s">
        <v>497</v>
      </c>
      <c r="K8" s="101" t="s">
        <v>700</v>
      </c>
      <c r="M8" s="101" t="str">
        <f>IF(K8="Not Tracking","Not Tracked",IF(L8="","No Data",IF(R8="Higher is Better",IF(L8&gt;=S8,"Green",IF(L8&gt;=T8,"Yellow","Red")),IF(R8="Lower is Better",IF(L8&lt;=S8,"Green",IF(L8&lt;=T8,"Yellow","Red")),"Manual Review"))))</f>
        <v>Not Tracked</v>
      </c>
      <c r="P8" s="110"/>
      <c r="Q8" s="108"/>
      <c r="R8" s="102" t="s">
        <v>699</v>
      </c>
      <c r="S8" s="102"/>
      <c r="T8" s="102"/>
      <c r="U8" s="115"/>
      <c r="V8" s="115"/>
      <c r="W8" s="115"/>
      <c r="X8" s="114"/>
    </row>
    <row r="9" spans="1:24" ht="53.25" hidden="1" customHeight="1">
      <c r="B9" s="54" t="s">
        <v>196</v>
      </c>
      <c r="C9" s="54" t="s">
        <v>495</v>
      </c>
      <c r="D9" s="54" t="s">
        <v>199</v>
      </c>
      <c r="E9" s="54" t="s">
        <v>21</v>
      </c>
      <c r="F9" s="54" t="s">
        <v>24</v>
      </c>
      <c r="G9" s="54" t="s">
        <v>497</v>
      </c>
      <c r="K9" s="101" t="s">
        <v>700</v>
      </c>
      <c r="M9" s="101" t="str">
        <f>IF(K9="Not Tracking","Not Tracked",IF(L9="","No Data",IF(R9="Higher is Better",IF(L9&gt;=S9,"Green",IF(L9&gt;=T9,"Yellow","Red")),IF(R9="Lower is Better",IF(L9&lt;=S9,"Green",IF(L9&lt;=T9,"Yellow","Red")),"Manual Review"))))</f>
        <v>Not Tracked</v>
      </c>
      <c r="P9" s="110"/>
      <c r="Q9" s="108"/>
      <c r="R9" s="102" t="s">
        <v>699</v>
      </c>
      <c r="S9" s="102"/>
      <c r="T9" s="102"/>
      <c r="U9" s="115"/>
      <c r="V9" s="115"/>
      <c r="W9" s="115"/>
      <c r="X9" s="114"/>
    </row>
    <row r="10" spans="1:24" ht="39.75" customHeight="1">
      <c r="A10" s="54" t="s">
        <v>65</v>
      </c>
      <c r="B10" s="54" t="s">
        <v>66</v>
      </c>
      <c r="C10" s="54" t="s">
        <v>495</v>
      </c>
      <c r="D10" s="54" t="s">
        <v>506</v>
      </c>
      <c r="E10" s="54" t="s">
        <v>21</v>
      </c>
      <c r="F10" s="54" t="s">
        <v>23</v>
      </c>
      <c r="G10" s="54" t="s">
        <v>497</v>
      </c>
      <c r="H10" s="93" t="s">
        <v>507</v>
      </c>
      <c r="I10" s="83" t="s">
        <v>508</v>
      </c>
      <c r="J10" s="84" t="s">
        <v>509</v>
      </c>
      <c r="K10" s="101" t="s">
        <v>695</v>
      </c>
      <c r="M10" s="101" t="str">
        <f t="shared" si="0"/>
        <v>No Data</v>
      </c>
      <c r="N10" s="131" t="s">
        <v>696</v>
      </c>
      <c r="O10" s="111" t="s">
        <v>390</v>
      </c>
      <c r="P10" s="110"/>
      <c r="Q10" s="108"/>
      <c r="R10" s="102" t="s">
        <v>697</v>
      </c>
      <c r="S10" s="102">
        <v>5</v>
      </c>
      <c r="T10" s="102">
        <v>7</v>
      </c>
      <c r="U10" s="115"/>
      <c r="V10" s="115"/>
      <c r="W10" s="115"/>
      <c r="X10" s="114"/>
    </row>
    <row r="11" spans="1:24" ht="39.75" hidden="1" customHeight="1">
      <c r="A11" s="140" t="s">
        <v>65</v>
      </c>
      <c r="B11" s="140" t="s">
        <v>66</v>
      </c>
      <c r="C11" s="140" t="s">
        <v>495</v>
      </c>
      <c r="D11" s="140" t="s">
        <v>510</v>
      </c>
      <c r="E11" s="140" t="s">
        <v>21</v>
      </c>
      <c r="F11" s="140" t="s">
        <v>23</v>
      </c>
      <c r="G11" s="140" t="s">
        <v>497</v>
      </c>
      <c r="K11" s="101" t="s">
        <v>700</v>
      </c>
      <c r="M11" s="101" t="str">
        <f t="shared" si="0"/>
        <v>Not Tracked</v>
      </c>
      <c r="O11" s="111" t="s">
        <v>390</v>
      </c>
      <c r="P11" s="110"/>
      <c r="Q11" s="108"/>
      <c r="R11" s="102" t="s">
        <v>699</v>
      </c>
      <c r="S11" s="102"/>
      <c r="T11" s="102"/>
      <c r="U11" s="115"/>
      <c r="V11" s="115"/>
      <c r="W11" s="115"/>
      <c r="X11" s="114"/>
    </row>
    <row r="12" spans="1:24" ht="39.75" hidden="1" customHeight="1">
      <c r="A12" s="119" t="s">
        <v>65</v>
      </c>
      <c r="B12" s="119" t="s">
        <v>66</v>
      </c>
      <c r="C12" s="119" t="s">
        <v>495</v>
      </c>
      <c r="D12" s="119" t="s">
        <v>710</v>
      </c>
      <c r="E12" s="119" t="s">
        <v>21</v>
      </c>
      <c r="F12" s="119" t="s">
        <v>24</v>
      </c>
      <c r="G12" s="119" t="s">
        <v>497</v>
      </c>
      <c r="K12" s="101" t="s">
        <v>700</v>
      </c>
      <c r="M12" s="101" t="str">
        <f t="shared" si="0"/>
        <v>Not Tracked</v>
      </c>
      <c r="O12" s="111" t="s">
        <v>390</v>
      </c>
      <c r="P12" s="110"/>
      <c r="Q12" s="108"/>
      <c r="R12" s="102" t="s">
        <v>699</v>
      </c>
      <c r="S12" s="102"/>
      <c r="T12" s="102"/>
      <c r="U12" s="115"/>
      <c r="V12" s="115"/>
      <c r="W12" s="115"/>
      <c r="X12" s="114"/>
    </row>
    <row r="13" spans="1:24" ht="39.75" hidden="1" customHeight="1">
      <c r="A13" s="119" t="s">
        <v>65</v>
      </c>
      <c r="B13" s="119" t="s">
        <v>66</v>
      </c>
      <c r="C13" s="119" t="s">
        <v>495</v>
      </c>
      <c r="D13" s="119" t="s">
        <v>512</v>
      </c>
      <c r="E13" s="119" t="s">
        <v>21</v>
      </c>
      <c r="F13" s="119" t="s">
        <v>24</v>
      </c>
      <c r="G13" s="119" t="s">
        <v>499</v>
      </c>
      <c r="K13" s="101" t="s">
        <v>700</v>
      </c>
      <c r="M13" s="101" t="str">
        <f t="shared" si="0"/>
        <v>Not Tracked</v>
      </c>
      <c r="O13" s="111" t="s">
        <v>390</v>
      </c>
      <c r="P13" s="110"/>
      <c r="Q13" s="108"/>
      <c r="R13" s="102" t="s">
        <v>699</v>
      </c>
      <c r="S13" s="102"/>
      <c r="T13" s="102"/>
      <c r="U13" s="115"/>
      <c r="V13" s="115"/>
      <c r="W13" s="115"/>
      <c r="X13" s="114"/>
    </row>
    <row r="14" spans="1:24" ht="39.75" customHeight="1">
      <c r="A14" s="54" t="s">
        <v>70</v>
      </c>
      <c r="B14" s="54" t="s">
        <v>71</v>
      </c>
      <c r="C14" s="54" t="s">
        <v>495</v>
      </c>
      <c r="D14" s="54" t="s">
        <v>513</v>
      </c>
      <c r="E14" s="54" t="s">
        <v>21</v>
      </c>
      <c r="F14" s="54" t="s">
        <v>23</v>
      </c>
      <c r="G14" s="54" t="s">
        <v>497</v>
      </c>
      <c r="H14" s="93" t="s">
        <v>507</v>
      </c>
      <c r="I14" s="83" t="s">
        <v>508</v>
      </c>
      <c r="J14" s="84" t="s">
        <v>509</v>
      </c>
      <c r="K14" s="101" t="s">
        <v>695</v>
      </c>
      <c r="M14" s="101" t="str">
        <f t="shared" si="0"/>
        <v>No Data</v>
      </c>
      <c r="N14" s="131" t="s">
        <v>696</v>
      </c>
      <c r="O14" s="111" t="s">
        <v>390</v>
      </c>
      <c r="P14" s="110"/>
      <c r="Q14" s="108"/>
      <c r="R14" s="102" t="s">
        <v>697</v>
      </c>
      <c r="S14" s="102">
        <v>5</v>
      </c>
      <c r="T14" s="102">
        <v>7</v>
      </c>
      <c r="U14" s="115"/>
      <c r="V14" s="115"/>
      <c r="W14" s="115"/>
      <c r="X14" s="114"/>
    </row>
    <row r="15" spans="1:24" ht="39.75" hidden="1" customHeight="1">
      <c r="A15" s="140" t="s">
        <v>70</v>
      </c>
      <c r="B15" s="140" t="s">
        <v>71</v>
      </c>
      <c r="C15" s="140" t="s">
        <v>495</v>
      </c>
      <c r="D15" s="140" t="s">
        <v>514</v>
      </c>
      <c r="E15" s="140" t="s">
        <v>21</v>
      </c>
      <c r="F15" s="140" t="s">
        <v>23</v>
      </c>
      <c r="G15" s="140" t="s">
        <v>499</v>
      </c>
      <c r="H15" s="93" t="s">
        <v>417</v>
      </c>
      <c r="I15" s="83" t="s">
        <v>417</v>
      </c>
      <c r="J15" s="84" t="s">
        <v>417</v>
      </c>
      <c r="K15" s="101" t="s">
        <v>700</v>
      </c>
      <c r="M15" s="101" t="str">
        <f t="shared" si="0"/>
        <v>Not Tracked</v>
      </c>
      <c r="O15" s="111" t="s">
        <v>390</v>
      </c>
      <c r="P15" s="110"/>
      <c r="Q15" s="108"/>
      <c r="R15" s="102" t="s">
        <v>699</v>
      </c>
      <c r="S15" s="102"/>
      <c r="T15" s="102"/>
      <c r="U15" s="115"/>
      <c r="V15" s="115"/>
      <c r="W15" s="115"/>
      <c r="X15" s="114"/>
    </row>
    <row r="16" spans="1:24" ht="39.75" customHeight="1">
      <c r="A16" s="54" t="s">
        <v>70</v>
      </c>
      <c r="B16" s="54" t="s">
        <v>71</v>
      </c>
      <c r="C16" s="54" t="s">
        <v>495</v>
      </c>
      <c r="D16" s="54" t="s">
        <v>74</v>
      </c>
      <c r="E16" s="54" t="s">
        <v>21</v>
      </c>
      <c r="F16" s="54" t="s">
        <v>24</v>
      </c>
      <c r="G16" s="54" t="s">
        <v>497</v>
      </c>
      <c r="H16" s="97">
        <v>0.05</v>
      </c>
      <c r="I16" s="137">
        <v>0.15</v>
      </c>
      <c r="J16" s="138">
        <v>0.25</v>
      </c>
      <c r="K16" s="101" t="s">
        <v>695</v>
      </c>
      <c r="L16" s="117"/>
      <c r="M16" s="101" t="str">
        <f>IF(K16="Not Tracking","Not Tracked",IF(L16="","No Data",IF(R16="Higher is Better",IF(L16&gt;=S16,"Green",IF(L16&gt;=T16,"Yellow","Red")),IF(R16="Lower is Better",IF(L16&lt;=S16,"Green",IF(L16&lt;=T16,"Yellow","Red")),"Manual Review"))))</f>
        <v>No Data</v>
      </c>
      <c r="N16" s="131" t="s">
        <v>696</v>
      </c>
      <c r="O16" s="111" t="s">
        <v>390</v>
      </c>
      <c r="P16" s="110"/>
      <c r="Q16" s="108"/>
      <c r="R16" s="102" t="s">
        <v>697</v>
      </c>
      <c r="S16" s="113">
        <v>0.05</v>
      </c>
      <c r="T16" s="113">
        <v>0.25</v>
      </c>
      <c r="U16" s="115"/>
      <c r="V16" s="115"/>
      <c r="W16" s="115"/>
      <c r="X16" s="114"/>
    </row>
    <row r="17" spans="1:24" ht="39.75" hidden="1" customHeight="1">
      <c r="A17" s="140" t="s">
        <v>79</v>
      </c>
      <c r="B17" s="140" t="s">
        <v>80</v>
      </c>
      <c r="C17" s="140" t="s">
        <v>495</v>
      </c>
      <c r="D17" s="140" t="s">
        <v>515</v>
      </c>
      <c r="E17" s="140" t="s">
        <v>21</v>
      </c>
      <c r="F17" s="140" t="s">
        <v>23</v>
      </c>
      <c r="G17" s="140" t="s">
        <v>497</v>
      </c>
      <c r="H17" s="93" t="s">
        <v>507</v>
      </c>
      <c r="I17" s="83" t="s">
        <v>508</v>
      </c>
      <c r="J17" s="84" t="s">
        <v>509</v>
      </c>
      <c r="K17" s="101" t="s">
        <v>700</v>
      </c>
      <c r="M17" s="101" t="str">
        <f t="shared" si="0"/>
        <v>Not Tracked</v>
      </c>
      <c r="N17" s="131" t="s">
        <v>696</v>
      </c>
      <c r="O17" s="111" t="s">
        <v>390</v>
      </c>
      <c r="P17" s="110"/>
      <c r="Q17" s="108"/>
      <c r="R17" s="102" t="s">
        <v>697</v>
      </c>
      <c r="S17" s="102">
        <v>5</v>
      </c>
      <c r="T17" s="102">
        <v>7</v>
      </c>
      <c r="U17" s="115"/>
      <c r="V17" s="115"/>
      <c r="W17" s="115"/>
      <c r="X17" s="114"/>
    </row>
    <row r="18" spans="1:24" ht="39.75" hidden="1" customHeight="1">
      <c r="A18" s="140" t="s">
        <v>79</v>
      </c>
      <c r="B18" s="140" t="s">
        <v>80</v>
      </c>
      <c r="C18" s="140" t="s">
        <v>495</v>
      </c>
      <c r="D18" s="140" t="s">
        <v>516</v>
      </c>
      <c r="E18" s="140" t="s">
        <v>21</v>
      </c>
      <c r="F18" s="140" t="s">
        <v>23</v>
      </c>
      <c r="G18" s="140" t="s">
        <v>497</v>
      </c>
      <c r="H18" s="93" t="s">
        <v>517</v>
      </c>
      <c r="I18" s="83" t="s">
        <v>518</v>
      </c>
      <c r="J18" s="84" t="s">
        <v>519</v>
      </c>
      <c r="K18" s="101" t="s">
        <v>700</v>
      </c>
      <c r="M18" s="101" t="str">
        <f t="shared" si="0"/>
        <v>Not Tracked</v>
      </c>
      <c r="N18" s="131" t="s">
        <v>696</v>
      </c>
      <c r="O18" s="111" t="s">
        <v>390</v>
      </c>
      <c r="P18" s="110"/>
      <c r="Q18" s="108"/>
      <c r="R18" s="102" t="s">
        <v>697</v>
      </c>
      <c r="S18" s="102">
        <v>3</v>
      </c>
      <c r="T18" s="102">
        <v>6</v>
      </c>
      <c r="U18" s="115"/>
      <c r="V18" s="115"/>
      <c r="W18" s="115"/>
      <c r="X18" s="114"/>
    </row>
    <row r="19" spans="1:24" ht="39.75" hidden="1" customHeight="1">
      <c r="A19" s="54" t="s">
        <v>79</v>
      </c>
      <c r="B19" s="54" t="s">
        <v>80</v>
      </c>
      <c r="C19" s="54" t="s">
        <v>495</v>
      </c>
      <c r="D19" s="54" t="s">
        <v>520</v>
      </c>
      <c r="E19" s="54" t="s">
        <v>21</v>
      </c>
      <c r="F19" s="54" t="s">
        <v>24</v>
      </c>
      <c r="G19" s="54" t="s">
        <v>497</v>
      </c>
      <c r="H19" s="93" t="s">
        <v>505</v>
      </c>
      <c r="I19" s="83" t="s">
        <v>505</v>
      </c>
      <c r="J19" s="84" t="s">
        <v>505</v>
      </c>
      <c r="K19" s="101" t="s">
        <v>700</v>
      </c>
      <c r="M19" s="101" t="str">
        <f t="shared" si="0"/>
        <v>Not Tracked</v>
      </c>
      <c r="O19" s="111" t="s">
        <v>390</v>
      </c>
      <c r="P19" s="110"/>
      <c r="Q19" s="108"/>
      <c r="R19" s="102" t="s">
        <v>699</v>
      </c>
      <c r="S19" s="102"/>
      <c r="T19" s="102"/>
      <c r="U19" s="115"/>
      <c r="V19" s="115"/>
      <c r="W19" s="115"/>
      <c r="X19" s="114"/>
    </row>
    <row r="20" spans="1:24" ht="39.75" hidden="1" customHeight="1">
      <c r="A20" s="54" t="s">
        <v>79</v>
      </c>
      <c r="B20" s="54" t="s">
        <v>80</v>
      </c>
      <c r="C20" s="54" t="s">
        <v>495</v>
      </c>
      <c r="D20" s="54" t="s">
        <v>521</v>
      </c>
      <c r="E20" s="54" t="s">
        <v>21</v>
      </c>
      <c r="F20" s="54" t="s">
        <v>24</v>
      </c>
      <c r="G20" s="54" t="s">
        <v>497</v>
      </c>
      <c r="H20" s="93" t="s">
        <v>505</v>
      </c>
      <c r="I20" s="83" t="s">
        <v>505</v>
      </c>
      <c r="J20" s="84" t="s">
        <v>505</v>
      </c>
      <c r="K20" s="101" t="s">
        <v>700</v>
      </c>
      <c r="M20" s="101" t="str">
        <f t="shared" si="0"/>
        <v>Not Tracked</v>
      </c>
      <c r="O20" s="111" t="s">
        <v>390</v>
      </c>
      <c r="P20" s="110"/>
      <c r="Q20" s="108"/>
      <c r="R20" s="102" t="s">
        <v>699</v>
      </c>
      <c r="S20" s="102"/>
      <c r="T20" s="102"/>
      <c r="U20" s="115"/>
      <c r="V20" s="115"/>
      <c r="W20" s="115"/>
      <c r="X20" s="114"/>
    </row>
    <row r="21" spans="1:24" ht="39.75" hidden="1" customHeight="1">
      <c r="A21" s="140" t="s">
        <v>75</v>
      </c>
      <c r="B21" s="140" t="s">
        <v>76</v>
      </c>
      <c r="C21" s="140" t="s">
        <v>495</v>
      </c>
      <c r="D21" s="140" t="s">
        <v>522</v>
      </c>
      <c r="E21" s="140" t="s">
        <v>21</v>
      </c>
      <c r="F21" s="140" t="s">
        <v>24</v>
      </c>
      <c r="G21" s="140" t="s">
        <v>497</v>
      </c>
      <c r="H21" s="93" t="s">
        <v>505</v>
      </c>
      <c r="I21" s="83" t="s">
        <v>505</v>
      </c>
      <c r="J21" s="84" t="s">
        <v>505</v>
      </c>
      <c r="K21" s="101" t="s">
        <v>700</v>
      </c>
      <c r="M21" s="101" t="str">
        <f t="shared" si="0"/>
        <v>Not Tracked</v>
      </c>
      <c r="O21" s="111" t="s">
        <v>390</v>
      </c>
      <c r="P21" s="110"/>
      <c r="Q21" s="108"/>
      <c r="R21" s="102" t="s">
        <v>699</v>
      </c>
      <c r="S21" s="102"/>
      <c r="T21" s="102"/>
      <c r="U21" s="115"/>
      <c r="V21" s="115"/>
      <c r="W21" s="115"/>
      <c r="X21" s="114"/>
    </row>
    <row r="22" spans="1:24" ht="39.75" hidden="1" customHeight="1">
      <c r="A22" s="54" t="s">
        <v>75</v>
      </c>
      <c r="B22" s="54" t="s">
        <v>76</v>
      </c>
      <c r="C22" s="54" t="s">
        <v>495</v>
      </c>
      <c r="D22" s="54" t="s">
        <v>523</v>
      </c>
      <c r="E22" s="54" t="s">
        <v>21</v>
      </c>
      <c r="F22" s="54" t="s">
        <v>24</v>
      </c>
      <c r="G22" s="54" t="s">
        <v>499</v>
      </c>
      <c r="H22" s="93" t="s">
        <v>524</v>
      </c>
      <c r="I22" s="83" t="s">
        <v>524</v>
      </c>
      <c r="J22" s="84" t="s">
        <v>524</v>
      </c>
      <c r="K22" s="101" t="s">
        <v>700</v>
      </c>
      <c r="M22" s="101" t="str">
        <f t="shared" si="0"/>
        <v>Not Tracked</v>
      </c>
      <c r="O22" s="111" t="s">
        <v>390</v>
      </c>
      <c r="P22" s="110"/>
      <c r="Q22" s="108"/>
      <c r="R22" s="102" t="s">
        <v>699</v>
      </c>
      <c r="S22" s="102"/>
      <c r="T22" s="102"/>
      <c r="U22" s="115"/>
      <c r="V22" s="115"/>
      <c r="W22" s="115"/>
      <c r="X22" s="114"/>
    </row>
    <row r="23" spans="1:24" ht="39.75" hidden="1" customHeight="1">
      <c r="A23" s="54" t="s">
        <v>75</v>
      </c>
      <c r="B23" s="54" t="s">
        <v>76</v>
      </c>
      <c r="C23" s="54" t="s">
        <v>495</v>
      </c>
      <c r="D23" s="54" t="s">
        <v>525</v>
      </c>
      <c r="E23" s="54" t="s">
        <v>21</v>
      </c>
      <c r="F23" s="54" t="s">
        <v>24</v>
      </c>
      <c r="G23" s="54" t="s">
        <v>499</v>
      </c>
      <c r="H23" s="93" t="s">
        <v>524</v>
      </c>
      <c r="I23" s="83" t="s">
        <v>524</v>
      </c>
      <c r="J23" s="84" t="s">
        <v>524</v>
      </c>
      <c r="K23" s="101" t="s">
        <v>700</v>
      </c>
      <c r="M23" s="101" t="str">
        <f t="shared" si="0"/>
        <v>Not Tracked</v>
      </c>
      <c r="O23" s="111" t="s">
        <v>390</v>
      </c>
      <c r="P23" s="110"/>
      <c r="Q23" s="108"/>
      <c r="R23" s="102" t="s">
        <v>699</v>
      </c>
      <c r="S23" s="102"/>
      <c r="T23" s="102"/>
      <c r="U23" s="115"/>
      <c r="V23" s="115"/>
      <c r="W23" s="115"/>
      <c r="X23" s="114"/>
    </row>
    <row r="24" spans="1:24" ht="51" hidden="1" customHeight="1">
      <c r="A24" s="54" t="s">
        <v>75</v>
      </c>
      <c r="B24" s="54" t="s">
        <v>76</v>
      </c>
      <c r="C24" s="54" t="s">
        <v>495</v>
      </c>
      <c r="D24" s="54" t="s">
        <v>711</v>
      </c>
      <c r="E24" s="54" t="s">
        <v>21</v>
      </c>
      <c r="F24" s="54" t="s">
        <v>23</v>
      </c>
      <c r="G24" s="54" t="s">
        <v>23</v>
      </c>
      <c r="K24" s="101" t="s">
        <v>700</v>
      </c>
      <c r="M24" s="101" t="str">
        <f t="shared" ref="M24" si="1">IF(K24="Not Tracking","Not Tracked",IF(L24="","No Data",IF(R24="Higher is Better",IF(L24&gt;=S24,"Green",IF(L24&gt;=T24,"Yellow","Red")),IF(R24="Lower is Better",IF(L24&lt;=S24,"Green",IF(L24&lt;=T24,"Yellow","Red")),"Manual Review"))))</f>
        <v>Not Tracked</v>
      </c>
      <c r="O24" s="111" t="s">
        <v>390</v>
      </c>
      <c r="P24" s="110"/>
      <c r="Q24" s="108"/>
      <c r="R24" s="102" t="s">
        <v>699</v>
      </c>
      <c r="S24" s="102"/>
      <c r="T24" s="102"/>
      <c r="U24" s="115"/>
      <c r="V24" s="115"/>
      <c r="W24" s="115"/>
      <c r="X24" s="114"/>
    </row>
    <row r="25" spans="1:24" ht="39.75" hidden="1" customHeight="1">
      <c r="A25" s="140" t="s">
        <v>85</v>
      </c>
      <c r="B25" s="140" t="s">
        <v>86</v>
      </c>
      <c r="C25" s="140" t="s">
        <v>495</v>
      </c>
      <c r="D25" s="140" t="s">
        <v>88</v>
      </c>
      <c r="E25" s="140" t="s">
        <v>21</v>
      </c>
      <c r="F25" s="140" t="s">
        <v>23</v>
      </c>
      <c r="G25" s="140" t="s">
        <v>23</v>
      </c>
      <c r="H25" s="93" t="s">
        <v>507</v>
      </c>
      <c r="I25" s="83" t="s">
        <v>508</v>
      </c>
      <c r="J25" s="84" t="s">
        <v>509</v>
      </c>
      <c r="K25" s="101" t="s">
        <v>700</v>
      </c>
      <c r="M25" s="101" t="str">
        <f t="shared" si="0"/>
        <v>Not Tracked</v>
      </c>
      <c r="N25" s="131" t="s">
        <v>696</v>
      </c>
      <c r="O25" s="111" t="s">
        <v>390</v>
      </c>
      <c r="P25" s="110"/>
      <c r="Q25" s="108"/>
      <c r="R25" s="102" t="s">
        <v>697</v>
      </c>
      <c r="S25" s="102">
        <v>5</v>
      </c>
      <c r="T25" s="102">
        <v>7</v>
      </c>
      <c r="U25" s="115"/>
      <c r="V25" s="115"/>
      <c r="W25" s="115"/>
      <c r="X25" s="114"/>
    </row>
    <row r="26" spans="1:24" ht="39.75" customHeight="1">
      <c r="A26" s="54" t="s">
        <v>85</v>
      </c>
      <c r="B26" s="54" t="s">
        <v>86</v>
      </c>
      <c r="C26" s="54" t="s">
        <v>495</v>
      </c>
      <c r="D26" s="54" t="s">
        <v>89</v>
      </c>
      <c r="E26" s="54" t="s">
        <v>21</v>
      </c>
      <c r="F26" s="54" t="s">
        <v>24</v>
      </c>
      <c r="G26" s="54" t="s">
        <v>497</v>
      </c>
      <c r="H26" s="97" t="s">
        <v>526</v>
      </c>
      <c r="I26" s="83" t="s">
        <v>527</v>
      </c>
      <c r="J26" s="84" t="s">
        <v>528</v>
      </c>
      <c r="K26" s="101" t="s">
        <v>695</v>
      </c>
      <c r="M26" s="101" t="str">
        <f t="shared" si="0"/>
        <v>No Data</v>
      </c>
      <c r="N26" s="131" t="s">
        <v>696</v>
      </c>
      <c r="O26" s="111" t="s">
        <v>390</v>
      </c>
      <c r="P26" s="110"/>
      <c r="Q26" s="108"/>
      <c r="R26" s="102" t="s">
        <v>701</v>
      </c>
      <c r="S26" s="113">
        <v>0.9</v>
      </c>
      <c r="T26" s="113">
        <v>0.7</v>
      </c>
      <c r="U26" s="115"/>
      <c r="V26" s="115"/>
      <c r="W26" s="115"/>
      <c r="X26" s="114"/>
    </row>
    <row r="27" spans="1:24" ht="39.75" customHeight="1">
      <c r="A27" s="54" t="s">
        <v>90</v>
      </c>
      <c r="B27" s="54" t="s">
        <v>91</v>
      </c>
      <c r="C27" s="54" t="s">
        <v>495</v>
      </c>
      <c r="D27" s="54" t="s">
        <v>93</v>
      </c>
      <c r="E27" s="54" t="s">
        <v>21</v>
      </c>
      <c r="F27" s="54" t="s">
        <v>23</v>
      </c>
      <c r="G27" s="54" t="s">
        <v>497</v>
      </c>
      <c r="H27" s="93" t="s">
        <v>529</v>
      </c>
      <c r="I27" s="83" t="s">
        <v>530</v>
      </c>
      <c r="J27" s="84" t="s">
        <v>531</v>
      </c>
      <c r="K27" s="101" t="s">
        <v>695</v>
      </c>
      <c r="M27" s="101" t="str">
        <f t="shared" si="0"/>
        <v>No Data</v>
      </c>
      <c r="N27" s="131" t="s">
        <v>696</v>
      </c>
      <c r="O27" s="111" t="s">
        <v>390</v>
      </c>
      <c r="P27" s="110"/>
      <c r="Q27" s="108"/>
      <c r="R27" s="102" t="s">
        <v>697</v>
      </c>
      <c r="S27" s="102">
        <v>24</v>
      </c>
      <c r="T27" s="102">
        <v>48</v>
      </c>
      <c r="U27" s="115"/>
      <c r="V27" s="115"/>
      <c r="W27" s="115"/>
      <c r="X27" s="114"/>
    </row>
    <row r="28" spans="1:24" ht="39.75" customHeight="1">
      <c r="A28" s="54" t="s">
        <v>201</v>
      </c>
      <c r="B28" s="54" t="s">
        <v>202</v>
      </c>
      <c r="C28" s="54" t="s">
        <v>532</v>
      </c>
      <c r="D28" s="54" t="s">
        <v>533</v>
      </c>
      <c r="E28" s="54" t="s">
        <v>21</v>
      </c>
      <c r="F28" s="54" t="s">
        <v>23</v>
      </c>
      <c r="G28" s="54" t="s">
        <v>502</v>
      </c>
      <c r="H28" s="93" t="s">
        <v>529</v>
      </c>
      <c r="I28" s="83" t="s">
        <v>530</v>
      </c>
      <c r="J28" s="84" t="s">
        <v>531</v>
      </c>
      <c r="K28" s="101" t="s">
        <v>695</v>
      </c>
      <c r="M28" s="101" t="str">
        <f t="shared" si="0"/>
        <v>No Data</v>
      </c>
      <c r="O28" s="111" t="s">
        <v>390</v>
      </c>
      <c r="P28" s="110"/>
      <c r="Q28" s="108"/>
      <c r="R28" s="102" t="s">
        <v>697</v>
      </c>
      <c r="S28" s="102">
        <v>24</v>
      </c>
      <c r="T28" s="102">
        <v>48</v>
      </c>
      <c r="U28" s="115"/>
      <c r="V28" s="115"/>
      <c r="W28" s="115"/>
      <c r="X28" s="114"/>
    </row>
    <row r="29" spans="1:24" ht="39.75" customHeight="1">
      <c r="A29" s="54" t="s">
        <v>201</v>
      </c>
      <c r="B29" s="54" t="s">
        <v>202</v>
      </c>
      <c r="C29" s="54" t="s">
        <v>532</v>
      </c>
      <c r="D29" s="54" t="s">
        <v>534</v>
      </c>
      <c r="E29" s="54" t="s">
        <v>21</v>
      </c>
      <c r="F29" s="54" t="s">
        <v>23</v>
      </c>
      <c r="G29" s="54" t="s">
        <v>502</v>
      </c>
      <c r="H29" s="93" t="s">
        <v>535</v>
      </c>
      <c r="I29" s="83" t="s">
        <v>536</v>
      </c>
      <c r="J29" s="84" t="s">
        <v>537</v>
      </c>
      <c r="K29" s="101" t="s">
        <v>695</v>
      </c>
      <c r="M29" s="101" t="str">
        <f t="shared" si="0"/>
        <v>No Data</v>
      </c>
      <c r="O29" s="111" t="s">
        <v>390</v>
      </c>
      <c r="P29" s="110"/>
      <c r="Q29" s="108"/>
      <c r="R29" s="102" t="s">
        <v>697</v>
      </c>
      <c r="S29" s="102">
        <v>48</v>
      </c>
      <c r="T29" s="102">
        <v>72</v>
      </c>
      <c r="U29" s="115"/>
      <c r="V29" s="115"/>
      <c r="W29" s="115"/>
      <c r="X29" s="114"/>
    </row>
    <row r="30" spans="1:24" ht="39.75" customHeight="1">
      <c r="A30" s="54" t="s">
        <v>201</v>
      </c>
      <c r="B30" s="54" t="s">
        <v>202</v>
      </c>
      <c r="C30" s="54" t="s">
        <v>532</v>
      </c>
      <c r="D30" s="54" t="s">
        <v>538</v>
      </c>
      <c r="E30" s="54" t="s">
        <v>21</v>
      </c>
      <c r="F30" s="54" t="s">
        <v>24</v>
      </c>
      <c r="G30" s="54" t="s">
        <v>502</v>
      </c>
      <c r="H30" s="93" t="s">
        <v>539</v>
      </c>
      <c r="I30" s="83" t="s">
        <v>540</v>
      </c>
      <c r="J30" s="84" t="s">
        <v>541</v>
      </c>
      <c r="K30" s="101" t="s">
        <v>695</v>
      </c>
      <c r="M30" s="101" t="str">
        <f t="shared" si="0"/>
        <v>No Data</v>
      </c>
      <c r="O30" s="111" t="s">
        <v>390</v>
      </c>
      <c r="P30" s="110"/>
      <c r="Q30" s="108"/>
      <c r="R30" s="102" t="s">
        <v>701</v>
      </c>
      <c r="S30" s="113">
        <v>0.9</v>
      </c>
      <c r="T30" s="113">
        <v>0.85</v>
      </c>
      <c r="U30" s="115"/>
      <c r="V30" s="115"/>
      <c r="W30" s="115"/>
      <c r="X30" s="114"/>
    </row>
    <row r="31" spans="1:24" ht="39.75" customHeight="1">
      <c r="A31" s="54" t="s">
        <v>201</v>
      </c>
      <c r="B31" s="54" t="s">
        <v>202</v>
      </c>
      <c r="C31" s="54" t="s">
        <v>532</v>
      </c>
      <c r="D31" s="54" t="s">
        <v>542</v>
      </c>
      <c r="E31" s="54" t="s">
        <v>21</v>
      </c>
      <c r="F31" s="54" t="s">
        <v>24</v>
      </c>
      <c r="G31" s="54" t="s">
        <v>502</v>
      </c>
      <c r="H31" s="93" t="s">
        <v>543</v>
      </c>
      <c r="I31" s="83" t="s">
        <v>544</v>
      </c>
      <c r="J31" s="84" t="s">
        <v>545</v>
      </c>
      <c r="K31" s="101" t="s">
        <v>695</v>
      </c>
      <c r="M31" s="101" t="str">
        <f t="shared" si="0"/>
        <v>No Data</v>
      </c>
      <c r="O31" s="111" t="s">
        <v>390</v>
      </c>
      <c r="P31" s="110"/>
      <c r="Q31" s="108"/>
      <c r="R31" s="102" t="s">
        <v>701</v>
      </c>
      <c r="S31" s="113">
        <v>0.85</v>
      </c>
      <c r="T31" s="113">
        <v>0.8</v>
      </c>
      <c r="U31" s="115"/>
      <c r="V31" s="115"/>
      <c r="W31" s="115"/>
      <c r="X31" s="114"/>
    </row>
    <row r="32" spans="1:24" ht="39.75" customHeight="1">
      <c r="A32" s="54" t="s">
        <v>201</v>
      </c>
      <c r="B32" s="54" t="s">
        <v>202</v>
      </c>
      <c r="C32" s="54" t="s">
        <v>532</v>
      </c>
      <c r="D32" s="54" t="s">
        <v>546</v>
      </c>
      <c r="E32" s="54" t="s">
        <v>21</v>
      </c>
      <c r="F32" s="54" t="s">
        <v>24</v>
      </c>
      <c r="G32" s="54" t="s">
        <v>502</v>
      </c>
      <c r="H32" s="93" t="s">
        <v>547</v>
      </c>
      <c r="I32" s="83" t="s">
        <v>540</v>
      </c>
      <c r="J32" s="84" t="s">
        <v>548</v>
      </c>
      <c r="K32" s="101" t="s">
        <v>695</v>
      </c>
      <c r="M32" s="101" t="str">
        <f t="shared" si="0"/>
        <v>No Data</v>
      </c>
      <c r="O32" s="111" t="s">
        <v>390</v>
      </c>
      <c r="P32" s="110"/>
      <c r="Q32" s="108"/>
      <c r="R32" s="102" t="s">
        <v>701</v>
      </c>
      <c r="S32" s="113">
        <v>0.9</v>
      </c>
      <c r="T32" s="113">
        <v>0.85</v>
      </c>
      <c r="U32" s="115"/>
      <c r="V32" s="115"/>
      <c r="W32" s="115"/>
      <c r="X32" s="114"/>
    </row>
    <row r="33" spans="1:24" ht="39.75" hidden="1" customHeight="1">
      <c r="A33" s="54" t="s">
        <v>201</v>
      </c>
      <c r="B33" s="54" t="s">
        <v>202</v>
      </c>
      <c r="C33" s="54" t="s">
        <v>532</v>
      </c>
      <c r="D33" s="54" t="s">
        <v>206</v>
      </c>
      <c r="E33" s="54" t="s">
        <v>21</v>
      </c>
      <c r="F33" s="54" t="s">
        <v>25</v>
      </c>
      <c r="G33" s="54" t="s">
        <v>497</v>
      </c>
      <c r="H33" s="93" t="s">
        <v>503</v>
      </c>
      <c r="I33" s="83" t="s">
        <v>503</v>
      </c>
      <c r="J33" s="84" t="s">
        <v>503</v>
      </c>
      <c r="K33" s="101" t="s">
        <v>700</v>
      </c>
      <c r="M33" s="101" t="str">
        <f t="shared" si="0"/>
        <v>Not Tracked</v>
      </c>
      <c r="O33" s="111" t="s">
        <v>390</v>
      </c>
      <c r="P33" s="110"/>
      <c r="Q33" s="108"/>
      <c r="R33" s="102" t="s">
        <v>699</v>
      </c>
      <c r="S33" s="102"/>
      <c r="T33" s="102"/>
      <c r="U33" s="115"/>
      <c r="V33" s="115"/>
      <c r="W33" s="115"/>
      <c r="X33" s="114"/>
    </row>
    <row r="34" spans="1:24" ht="39.75" customHeight="1">
      <c r="A34" s="54" t="s">
        <v>201</v>
      </c>
      <c r="B34" s="54" t="s">
        <v>202</v>
      </c>
      <c r="C34" s="54" t="s">
        <v>532</v>
      </c>
      <c r="D34" s="54" t="s">
        <v>207</v>
      </c>
      <c r="E34" s="54" t="s">
        <v>53</v>
      </c>
      <c r="F34" s="54" t="s">
        <v>549</v>
      </c>
      <c r="G34" s="54" t="s">
        <v>502</v>
      </c>
      <c r="H34" s="93" t="s">
        <v>543</v>
      </c>
      <c r="I34" s="83" t="s">
        <v>544</v>
      </c>
      <c r="J34" s="84" t="s">
        <v>550</v>
      </c>
      <c r="K34" s="101" t="s">
        <v>695</v>
      </c>
      <c r="L34" s="117">
        <v>0.67</v>
      </c>
      <c r="M34" s="101" t="str">
        <f t="shared" si="0"/>
        <v>Red</v>
      </c>
      <c r="N34" s="131" t="s">
        <v>712</v>
      </c>
      <c r="O34" s="111" t="s">
        <v>390</v>
      </c>
      <c r="P34" s="110"/>
      <c r="Q34" s="108"/>
      <c r="R34" s="102" t="s">
        <v>701</v>
      </c>
      <c r="S34" s="113">
        <v>0.85</v>
      </c>
      <c r="T34" s="113">
        <v>0.8</v>
      </c>
      <c r="U34" s="115"/>
      <c r="V34" s="115"/>
      <c r="W34" s="115"/>
      <c r="X34" s="114"/>
    </row>
    <row r="35" spans="1:24" ht="39.75" customHeight="1">
      <c r="A35" s="54" t="s">
        <v>201</v>
      </c>
      <c r="B35" s="54" t="s">
        <v>202</v>
      </c>
      <c r="C35" s="54" t="s">
        <v>532</v>
      </c>
      <c r="D35" s="54" t="s">
        <v>103</v>
      </c>
      <c r="E35" s="54" t="s">
        <v>53</v>
      </c>
      <c r="F35" s="54" t="s">
        <v>504</v>
      </c>
      <c r="G35" s="54" t="s">
        <v>502</v>
      </c>
      <c r="H35" s="93" t="s">
        <v>705</v>
      </c>
      <c r="I35" s="83" t="s">
        <v>706</v>
      </c>
      <c r="J35" s="84" t="s">
        <v>707</v>
      </c>
      <c r="K35" s="101" t="s">
        <v>695</v>
      </c>
      <c r="L35" s="117">
        <v>0.82</v>
      </c>
      <c r="M35" s="101" t="str">
        <f>IF(K35="Not Tracking","Not Tracked",IF(L35="","No Data",IF(R35="Higher is Better",IF(L35&gt;=S35,"Green",IF(L35&gt;=T35,"Yellow","Red")),IF(R35="Lower is Better",IF(L35&lt;=S35,"Green",IF(L35&lt;=T35,"Yellow","Red")),"Manual Review"))))</f>
        <v>Green</v>
      </c>
      <c r="N35" s="112" t="s">
        <v>708</v>
      </c>
      <c r="O35" s="111" t="s">
        <v>709</v>
      </c>
      <c r="P35" s="110"/>
      <c r="Q35" s="108"/>
      <c r="R35" s="102" t="s">
        <v>701</v>
      </c>
      <c r="S35" s="113">
        <v>0.75</v>
      </c>
      <c r="T35" s="113">
        <v>0.65</v>
      </c>
      <c r="U35" s="115"/>
      <c r="V35" s="115"/>
      <c r="W35" s="115"/>
      <c r="X35" s="114"/>
    </row>
    <row r="36" spans="1:24" ht="39.75" hidden="1" customHeight="1">
      <c r="A36" s="54" t="s">
        <v>208</v>
      </c>
      <c r="B36" s="54" t="s">
        <v>209</v>
      </c>
      <c r="C36" s="54" t="s">
        <v>532</v>
      </c>
      <c r="D36" s="54" t="s">
        <v>211</v>
      </c>
      <c r="E36" s="54" t="s">
        <v>21</v>
      </c>
      <c r="F36" s="54" t="s">
        <v>25</v>
      </c>
      <c r="G36" s="54" t="s">
        <v>497</v>
      </c>
      <c r="H36" s="93" t="s">
        <v>503</v>
      </c>
      <c r="I36" s="83" t="s">
        <v>503</v>
      </c>
      <c r="J36" s="84" t="s">
        <v>503</v>
      </c>
      <c r="K36" s="101" t="s">
        <v>700</v>
      </c>
      <c r="M36" s="101" t="str">
        <f t="shared" si="0"/>
        <v>Not Tracked</v>
      </c>
      <c r="O36" s="111" t="s">
        <v>390</v>
      </c>
      <c r="P36" s="110"/>
      <c r="Q36" s="108"/>
      <c r="R36" s="102" t="s">
        <v>699</v>
      </c>
      <c r="S36" s="102"/>
      <c r="T36" s="102"/>
      <c r="U36" s="115"/>
      <c r="V36" s="115"/>
      <c r="W36" s="115"/>
      <c r="X36" s="114"/>
    </row>
    <row r="37" spans="1:24" ht="39.75" customHeight="1">
      <c r="A37" s="54" t="s">
        <v>208</v>
      </c>
      <c r="B37" s="54" t="s">
        <v>209</v>
      </c>
      <c r="C37" s="54" t="s">
        <v>532</v>
      </c>
      <c r="D37" s="54" t="s">
        <v>212</v>
      </c>
      <c r="E37" s="54" t="s">
        <v>53</v>
      </c>
      <c r="F37" s="54" t="s">
        <v>549</v>
      </c>
      <c r="G37" s="54" t="s">
        <v>502</v>
      </c>
      <c r="H37" s="93" t="s">
        <v>551</v>
      </c>
      <c r="I37" s="83" t="s">
        <v>552</v>
      </c>
      <c r="J37" s="138">
        <v>0.69</v>
      </c>
      <c r="K37" s="101" t="s">
        <v>695</v>
      </c>
      <c r="L37" s="116"/>
      <c r="M37" s="101" t="str">
        <f t="shared" si="0"/>
        <v>No Data</v>
      </c>
      <c r="N37" s="131" t="s">
        <v>712</v>
      </c>
      <c r="O37" s="111" t="s">
        <v>390</v>
      </c>
      <c r="P37" s="110"/>
      <c r="Q37" s="108"/>
      <c r="R37" s="102" t="s">
        <v>701</v>
      </c>
      <c r="S37" s="113">
        <v>1</v>
      </c>
      <c r="T37" s="113">
        <v>0.69</v>
      </c>
      <c r="U37" s="115"/>
      <c r="V37" s="115"/>
      <c r="W37" s="115"/>
      <c r="X37" s="114"/>
    </row>
    <row r="38" spans="1:24" ht="39.75" customHeight="1">
      <c r="A38" s="54" t="s">
        <v>213</v>
      </c>
      <c r="B38" s="54" t="s">
        <v>214</v>
      </c>
      <c r="C38" s="54" t="s">
        <v>532</v>
      </c>
      <c r="D38" s="54" t="s">
        <v>553</v>
      </c>
      <c r="E38" s="54" t="s">
        <v>21</v>
      </c>
      <c r="F38" s="54" t="s">
        <v>23</v>
      </c>
      <c r="G38" s="54" t="s">
        <v>502</v>
      </c>
      <c r="H38" s="93" t="s">
        <v>554</v>
      </c>
      <c r="I38" s="83" t="s">
        <v>555</v>
      </c>
      <c r="J38" s="84" t="s">
        <v>556</v>
      </c>
      <c r="K38" s="101" t="s">
        <v>695</v>
      </c>
      <c r="M38" s="101" t="str">
        <f t="shared" si="0"/>
        <v>No Data</v>
      </c>
      <c r="N38" s="131" t="s">
        <v>713</v>
      </c>
      <c r="O38" s="111" t="s">
        <v>390</v>
      </c>
      <c r="P38" s="110"/>
      <c r="Q38" s="108"/>
      <c r="R38" s="102" t="s">
        <v>697</v>
      </c>
      <c r="S38" s="102">
        <v>3</v>
      </c>
      <c r="T38" s="102">
        <v>5</v>
      </c>
      <c r="U38" s="115"/>
      <c r="V38" s="115"/>
      <c r="W38" s="115"/>
      <c r="X38" s="114"/>
    </row>
    <row r="39" spans="1:24" ht="39.75" hidden="1" customHeight="1">
      <c r="A39" s="140" t="s">
        <v>213</v>
      </c>
      <c r="B39" s="140" t="s">
        <v>214</v>
      </c>
      <c r="C39" s="140" t="s">
        <v>532</v>
      </c>
      <c r="D39" s="140" t="s">
        <v>557</v>
      </c>
      <c r="E39" s="140" t="s">
        <v>21</v>
      </c>
      <c r="F39" s="140" t="s">
        <v>23</v>
      </c>
      <c r="G39" s="140" t="s">
        <v>502</v>
      </c>
      <c r="H39" s="93" t="s">
        <v>558</v>
      </c>
      <c r="I39" s="83" t="s">
        <v>559</v>
      </c>
      <c r="J39" s="84" t="s">
        <v>550</v>
      </c>
      <c r="K39" s="101" t="s">
        <v>700</v>
      </c>
      <c r="L39" s="116"/>
      <c r="M39" s="101" t="str">
        <f t="shared" si="0"/>
        <v>Not Tracked</v>
      </c>
      <c r="N39" s="131" t="s">
        <v>713</v>
      </c>
      <c r="O39" s="111" t="s">
        <v>390</v>
      </c>
      <c r="P39" s="110"/>
      <c r="Q39" s="108"/>
      <c r="R39" s="102" t="s">
        <v>701</v>
      </c>
      <c r="S39" s="113">
        <v>0.9</v>
      </c>
      <c r="T39" s="113">
        <v>0.8</v>
      </c>
      <c r="U39" s="115"/>
      <c r="V39" s="115"/>
      <c r="W39" s="115"/>
      <c r="X39" s="114"/>
    </row>
    <row r="40" spans="1:24" ht="39.75" customHeight="1">
      <c r="A40" s="54" t="s">
        <v>213</v>
      </c>
      <c r="B40" s="54" t="s">
        <v>214</v>
      </c>
      <c r="C40" s="54" t="s">
        <v>532</v>
      </c>
      <c r="D40" s="54" t="s">
        <v>560</v>
      </c>
      <c r="E40" s="54" t="s">
        <v>21</v>
      </c>
      <c r="F40" s="54" t="s">
        <v>23</v>
      </c>
      <c r="G40" s="54" t="s">
        <v>502</v>
      </c>
      <c r="H40" s="93" t="s">
        <v>561</v>
      </c>
      <c r="I40" s="83" t="s">
        <v>562</v>
      </c>
      <c r="J40" s="84" t="s">
        <v>563</v>
      </c>
      <c r="K40" s="101" t="s">
        <v>695</v>
      </c>
      <c r="L40" s="116" t="s">
        <v>714</v>
      </c>
      <c r="M40" s="101" t="str">
        <f>IF(K40="Not Tracking","Not Tracked",IF(L40="","No Data",IF(R40="Higher is Better",IF(L40&gt;=S40,"Green",IF(L40&gt;=T40,"Yellow","Red")),IF(R40="Lower is Better",IF(L40&lt;=S40,"Green",IF(L40&lt;=T40,"Yellow","Red")),"Manual Review"))))</f>
        <v>Red</v>
      </c>
      <c r="N40" s="131" t="s">
        <v>715</v>
      </c>
      <c r="O40" s="111" t="s">
        <v>390</v>
      </c>
      <c r="P40" s="110"/>
      <c r="Q40" s="108"/>
      <c r="R40" s="102" t="s">
        <v>697</v>
      </c>
      <c r="S40" s="102">
        <v>1</v>
      </c>
      <c r="T40" s="102">
        <v>5</v>
      </c>
      <c r="U40" s="115"/>
      <c r="V40" s="115"/>
      <c r="W40" s="115"/>
      <c r="X40" s="114"/>
    </row>
    <row r="41" spans="1:24" ht="39.75" customHeight="1">
      <c r="A41" s="54" t="s">
        <v>213</v>
      </c>
      <c r="B41" s="54" t="s">
        <v>214</v>
      </c>
      <c r="C41" s="54" t="s">
        <v>532</v>
      </c>
      <c r="D41" s="54" t="s">
        <v>564</v>
      </c>
      <c r="E41" s="54" t="s">
        <v>21</v>
      </c>
      <c r="F41" s="54" t="s">
        <v>23</v>
      </c>
      <c r="G41" s="54" t="s">
        <v>502</v>
      </c>
      <c r="H41" s="93" t="s">
        <v>565</v>
      </c>
      <c r="I41" s="83" t="s">
        <v>566</v>
      </c>
      <c r="J41" s="84" t="s">
        <v>550</v>
      </c>
      <c r="K41" s="101" t="s">
        <v>695</v>
      </c>
      <c r="L41" s="116">
        <v>0.82499999999999996</v>
      </c>
      <c r="M41" s="101" t="str">
        <f t="shared" si="0"/>
        <v>Yellow</v>
      </c>
      <c r="N41" s="131" t="s">
        <v>715</v>
      </c>
      <c r="O41" s="111" t="s">
        <v>390</v>
      </c>
      <c r="P41" s="110"/>
      <c r="Q41" s="108"/>
      <c r="R41" s="102" t="s">
        <v>701</v>
      </c>
      <c r="S41" s="113">
        <v>0.9</v>
      </c>
      <c r="T41" s="113">
        <v>0.8</v>
      </c>
      <c r="U41" s="115"/>
      <c r="V41" s="115"/>
      <c r="W41" s="115"/>
      <c r="X41" s="114"/>
    </row>
    <row r="42" spans="1:24" ht="39.75" customHeight="1">
      <c r="A42" s="54" t="s">
        <v>213</v>
      </c>
      <c r="B42" s="54" t="s">
        <v>214</v>
      </c>
      <c r="C42" s="54" t="s">
        <v>532</v>
      </c>
      <c r="D42" s="54" t="s">
        <v>567</v>
      </c>
      <c r="E42" s="54" t="s">
        <v>21</v>
      </c>
      <c r="F42" s="54" t="s">
        <v>23</v>
      </c>
      <c r="G42" s="54" t="s">
        <v>502</v>
      </c>
      <c r="H42" s="93" t="s">
        <v>568</v>
      </c>
      <c r="I42" s="83" t="s">
        <v>569</v>
      </c>
      <c r="J42" s="84" t="s">
        <v>570</v>
      </c>
      <c r="K42" s="101" t="s">
        <v>695</v>
      </c>
      <c r="L42" s="116">
        <v>0.96</v>
      </c>
      <c r="M42" s="101" t="str">
        <f t="shared" si="0"/>
        <v>Green</v>
      </c>
      <c r="N42" s="131" t="s">
        <v>715</v>
      </c>
      <c r="O42" s="111" t="s">
        <v>390</v>
      </c>
      <c r="P42" s="110"/>
      <c r="Q42" s="108"/>
      <c r="R42" s="102" t="s">
        <v>701</v>
      </c>
      <c r="S42" s="113">
        <v>0.8</v>
      </c>
      <c r="T42" s="113">
        <v>0.75</v>
      </c>
      <c r="U42" s="115"/>
      <c r="V42" s="115"/>
      <c r="W42" s="115"/>
      <c r="X42" s="114"/>
    </row>
    <row r="43" spans="1:24" ht="39.75" customHeight="1">
      <c r="A43" s="54" t="s">
        <v>213</v>
      </c>
      <c r="B43" s="54" t="s">
        <v>214</v>
      </c>
      <c r="C43" s="54" t="s">
        <v>532</v>
      </c>
      <c r="D43" s="54" t="s">
        <v>571</v>
      </c>
      <c r="E43" s="54" t="s">
        <v>21</v>
      </c>
      <c r="F43" s="54" t="s">
        <v>24</v>
      </c>
      <c r="G43" s="54" t="s">
        <v>502</v>
      </c>
      <c r="H43" s="97" t="s">
        <v>568</v>
      </c>
      <c r="I43" s="83" t="s">
        <v>572</v>
      </c>
      <c r="J43" s="84" t="s">
        <v>570</v>
      </c>
      <c r="K43" s="101" t="s">
        <v>695</v>
      </c>
      <c r="L43" s="116">
        <v>0.98</v>
      </c>
      <c r="M43" s="101" t="str">
        <f t="shared" si="0"/>
        <v>Green</v>
      </c>
      <c r="N43" s="131" t="s">
        <v>716</v>
      </c>
      <c r="O43" s="111" t="s">
        <v>390</v>
      </c>
      <c r="P43" s="110"/>
      <c r="Q43" s="108"/>
      <c r="R43" s="102" t="s">
        <v>701</v>
      </c>
      <c r="S43" s="113">
        <v>0.8</v>
      </c>
      <c r="T43" s="113">
        <v>0.75</v>
      </c>
      <c r="U43" s="115"/>
      <c r="V43" s="115"/>
      <c r="W43" s="115"/>
      <c r="X43" s="114"/>
    </row>
    <row r="44" spans="1:24" ht="39.75" customHeight="1">
      <c r="A44" s="54" t="s">
        <v>213</v>
      </c>
      <c r="B44" s="54" t="s">
        <v>214</v>
      </c>
      <c r="C44" s="54" t="s">
        <v>532</v>
      </c>
      <c r="D44" s="54" t="s">
        <v>573</v>
      </c>
      <c r="E44" s="54" t="s">
        <v>21</v>
      </c>
      <c r="F44" s="54" t="s">
        <v>24</v>
      </c>
      <c r="G44" s="54" t="s">
        <v>502</v>
      </c>
      <c r="H44" s="97" t="s">
        <v>568</v>
      </c>
      <c r="I44" s="83" t="s">
        <v>572</v>
      </c>
      <c r="J44" s="84" t="s">
        <v>570</v>
      </c>
      <c r="K44" s="101" t="s">
        <v>695</v>
      </c>
      <c r="L44" s="116">
        <v>0.77</v>
      </c>
      <c r="M44" s="101" t="str">
        <f t="shared" si="0"/>
        <v>Yellow</v>
      </c>
      <c r="N44" s="131" t="s">
        <v>717</v>
      </c>
      <c r="O44" s="111" t="s">
        <v>390</v>
      </c>
      <c r="P44" s="110"/>
      <c r="Q44" s="108"/>
      <c r="R44" s="102" t="s">
        <v>701</v>
      </c>
      <c r="S44" s="113">
        <v>0.8</v>
      </c>
      <c r="T44" s="113">
        <v>0.75</v>
      </c>
      <c r="U44" s="115"/>
      <c r="V44" s="115"/>
      <c r="W44" s="115"/>
      <c r="X44" s="114"/>
    </row>
    <row r="45" spans="1:24" ht="39.75" customHeight="1">
      <c r="A45" s="54" t="s">
        <v>213</v>
      </c>
      <c r="B45" s="54" t="s">
        <v>214</v>
      </c>
      <c r="C45" s="54" t="s">
        <v>532</v>
      </c>
      <c r="D45" s="54" t="s">
        <v>574</v>
      </c>
      <c r="E45" s="54" t="s">
        <v>21</v>
      </c>
      <c r="F45" s="54" t="s">
        <v>24</v>
      </c>
      <c r="G45" s="54" t="s">
        <v>502</v>
      </c>
      <c r="H45" s="93" t="s">
        <v>558</v>
      </c>
      <c r="I45" s="83" t="s">
        <v>559</v>
      </c>
      <c r="J45" s="84" t="s">
        <v>550</v>
      </c>
      <c r="K45" s="101" t="s">
        <v>695</v>
      </c>
      <c r="L45" s="116">
        <v>0.97</v>
      </c>
      <c r="M45" s="101" t="str">
        <f t="shared" si="0"/>
        <v>Green</v>
      </c>
      <c r="N45" s="131" t="s">
        <v>713</v>
      </c>
      <c r="O45" s="111" t="s">
        <v>390</v>
      </c>
      <c r="P45" s="110"/>
      <c r="Q45" s="108"/>
      <c r="R45" s="102" t="s">
        <v>701</v>
      </c>
      <c r="S45" s="113">
        <v>0.9</v>
      </c>
      <c r="T45" s="113">
        <v>0.8</v>
      </c>
      <c r="U45" s="115"/>
      <c r="V45" s="115"/>
      <c r="W45" s="115"/>
      <c r="X45" s="114"/>
    </row>
    <row r="46" spans="1:24" ht="39.75" hidden="1" customHeight="1">
      <c r="A46" s="54" t="s">
        <v>218</v>
      </c>
      <c r="B46" s="54" t="s">
        <v>219</v>
      </c>
      <c r="C46" s="54" t="s">
        <v>532</v>
      </c>
      <c r="D46" s="54" t="s">
        <v>575</v>
      </c>
      <c r="E46" s="54" t="s">
        <v>21</v>
      </c>
      <c r="F46" s="54" t="s">
        <v>23</v>
      </c>
      <c r="G46" s="54" t="s">
        <v>499</v>
      </c>
      <c r="H46" s="93" t="s">
        <v>524</v>
      </c>
      <c r="I46" s="83" t="s">
        <v>524</v>
      </c>
      <c r="J46" s="84" t="s">
        <v>524</v>
      </c>
      <c r="K46" s="101" t="s">
        <v>700</v>
      </c>
      <c r="M46" s="101" t="str">
        <f t="shared" si="0"/>
        <v>Not Tracked</v>
      </c>
      <c r="O46" s="111" t="s">
        <v>390</v>
      </c>
      <c r="P46" s="110"/>
      <c r="Q46" s="108"/>
      <c r="R46" s="102" t="s">
        <v>699</v>
      </c>
      <c r="S46" s="102"/>
      <c r="T46" s="102"/>
      <c r="U46" s="115"/>
      <c r="V46" s="115"/>
      <c r="W46" s="115"/>
      <c r="X46" s="114"/>
    </row>
    <row r="47" spans="1:24" ht="39.75" customHeight="1">
      <c r="A47" s="54" t="s">
        <v>218</v>
      </c>
      <c r="B47" s="54" t="s">
        <v>219</v>
      </c>
      <c r="C47" s="54" t="s">
        <v>532</v>
      </c>
      <c r="D47" s="54" t="s">
        <v>576</v>
      </c>
      <c r="E47" s="54" t="s">
        <v>21</v>
      </c>
      <c r="F47" s="54" t="s">
        <v>23</v>
      </c>
      <c r="G47" s="54" t="s">
        <v>502</v>
      </c>
      <c r="K47" s="101" t="s">
        <v>695</v>
      </c>
      <c r="M47" s="101" t="str">
        <f t="shared" si="0"/>
        <v>No Data</v>
      </c>
      <c r="N47" s="131" t="s">
        <v>718</v>
      </c>
      <c r="O47" s="111" t="s">
        <v>390</v>
      </c>
      <c r="P47" s="110"/>
      <c r="Q47" s="108"/>
      <c r="R47" s="102" t="s">
        <v>699</v>
      </c>
      <c r="S47" s="102"/>
      <c r="T47" s="102"/>
      <c r="U47" s="115"/>
      <c r="V47" s="115"/>
      <c r="W47" s="115"/>
      <c r="X47" s="114"/>
    </row>
    <row r="48" spans="1:24" ht="39.75" hidden="1" customHeight="1">
      <c r="A48" s="54" t="s">
        <v>218</v>
      </c>
      <c r="B48" s="54" t="s">
        <v>219</v>
      </c>
      <c r="C48" s="54" t="s">
        <v>532</v>
      </c>
      <c r="D48" s="54" t="s">
        <v>577</v>
      </c>
      <c r="E48" s="54" t="s">
        <v>21</v>
      </c>
      <c r="F48" s="54" t="s">
        <v>24</v>
      </c>
      <c r="G48" s="54" t="s">
        <v>499</v>
      </c>
      <c r="H48" s="93" t="s">
        <v>524</v>
      </c>
      <c r="I48" s="83" t="s">
        <v>524</v>
      </c>
      <c r="J48" s="84" t="s">
        <v>524</v>
      </c>
      <c r="K48" s="101" t="s">
        <v>700</v>
      </c>
      <c r="M48" s="101" t="str">
        <f t="shared" si="0"/>
        <v>Not Tracked</v>
      </c>
      <c r="O48" s="111" t="s">
        <v>390</v>
      </c>
      <c r="P48" s="110"/>
      <c r="Q48" s="108"/>
      <c r="R48" s="102" t="s">
        <v>699</v>
      </c>
      <c r="S48" s="102"/>
      <c r="T48" s="102"/>
      <c r="U48" s="115"/>
      <c r="V48" s="115"/>
      <c r="W48" s="115"/>
      <c r="X48" s="114"/>
    </row>
    <row r="49" spans="1:24" ht="39.75" hidden="1" customHeight="1">
      <c r="A49" s="54" t="s">
        <v>218</v>
      </c>
      <c r="B49" s="54" t="s">
        <v>219</v>
      </c>
      <c r="C49" s="54" t="s">
        <v>532</v>
      </c>
      <c r="D49" s="54" t="s">
        <v>578</v>
      </c>
      <c r="E49" s="54" t="s">
        <v>21</v>
      </c>
      <c r="F49" s="54" t="s">
        <v>24</v>
      </c>
      <c r="G49" s="54" t="s">
        <v>499</v>
      </c>
      <c r="H49" s="93" t="s">
        <v>524</v>
      </c>
      <c r="I49" s="83" t="s">
        <v>524</v>
      </c>
      <c r="J49" s="84" t="s">
        <v>524</v>
      </c>
      <c r="K49" s="101" t="s">
        <v>700</v>
      </c>
      <c r="M49" s="101" t="str">
        <f t="shared" si="0"/>
        <v>Not Tracked</v>
      </c>
      <c r="O49" s="111" t="s">
        <v>390</v>
      </c>
      <c r="P49" s="110"/>
      <c r="Q49" s="108"/>
      <c r="R49" s="102" t="s">
        <v>699</v>
      </c>
      <c r="S49" s="102"/>
      <c r="T49" s="102"/>
      <c r="U49" s="115"/>
      <c r="V49" s="115"/>
      <c r="W49" s="115"/>
      <c r="X49" s="114"/>
    </row>
    <row r="50" spans="1:24" ht="39.75" customHeight="1">
      <c r="A50" s="54" t="s">
        <v>218</v>
      </c>
      <c r="B50" s="54" t="s">
        <v>219</v>
      </c>
      <c r="C50" s="54" t="s">
        <v>532</v>
      </c>
      <c r="D50" s="54" t="s">
        <v>579</v>
      </c>
      <c r="E50" s="54" t="s">
        <v>21</v>
      </c>
      <c r="F50" s="54" t="s">
        <v>24</v>
      </c>
      <c r="G50" s="54" t="s">
        <v>502</v>
      </c>
      <c r="K50" s="101" t="s">
        <v>695</v>
      </c>
      <c r="L50" s="117">
        <v>0.83240000000000003</v>
      </c>
      <c r="M50" s="101" t="str">
        <f t="shared" si="0"/>
        <v>Manual Review</v>
      </c>
      <c r="N50" s="131" t="s">
        <v>718</v>
      </c>
      <c r="O50" s="111" t="s">
        <v>390</v>
      </c>
      <c r="P50" s="110"/>
      <c r="Q50" s="108"/>
      <c r="R50" s="102" t="s">
        <v>699</v>
      </c>
      <c r="S50" s="102"/>
      <c r="T50" s="102"/>
      <c r="U50" s="115"/>
      <c r="V50" s="115"/>
      <c r="W50" s="115"/>
      <c r="X50" s="114"/>
    </row>
    <row r="51" spans="1:24" ht="39.75" hidden="1" customHeight="1">
      <c r="A51" s="54" t="s">
        <v>218</v>
      </c>
      <c r="B51" s="54" t="s">
        <v>219</v>
      </c>
      <c r="C51" s="54" t="s">
        <v>532</v>
      </c>
      <c r="D51" s="54" t="s">
        <v>580</v>
      </c>
      <c r="E51" s="54" t="s">
        <v>21</v>
      </c>
      <c r="F51" s="54" t="s">
        <v>25</v>
      </c>
      <c r="G51" s="54" t="s">
        <v>497</v>
      </c>
      <c r="H51" s="93" t="s">
        <v>503</v>
      </c>
      <c r="I51" s="83" t="s">
        <v>503</v>
      </c>
      <c r="J51" s="84" t="s">
        <v>503</v>
      </c>
      <c r="K51" s="101" t="s">
        <v>700</v>
      </c>
      <c r="M51" s="101" t="str">
        <f t="shared" si="0"/>
        <v>Not Tracked</v>
      </c>
      <c r="O51" s="111" t="s">
        <v>390</v>
      </c>
      <c r="P51" s="110"/>
      <c r="Q51" s="108"/>
      <c r="R51" s="102" t="s">
        <v>699</v>
      </c>
      <c r="S51" s="102"/>
      <c r="T51" s="102"/>
      <c r="U51" s="115"/>
      <c r="V51" s="115"/>
      <c r="W51" s="115"/>
      <c r="X51" s="114"/>
    </row>
    <row r="52" spans="1:24" ht="39.75" hidden="1" customHeight="1">
      <c r="A52" s="54" t="s">
        <v>218</v>
      </c>
      <c r="B52" s="54" t="s">
        <v>219</v>
      </c>
      <c r="C52" s="54" t="s">
        <v>532</v>
      </c>
      <c r="D52" s="54" t="s">
        <v>581</v>
      </c>
      <c r="E52" s="54" t="s">
        <v>21</v>
      </c>
      <c r="F52" s="54" t="s">
        <v>25</v>
      </c>
      <c r="G52" s="54" t="s">
        <v>497</v>
      </c>
      <c r="H52" s="93" t="s">
        <v>503</v>
      </c>
      <c r="I52" s="83" t="s">
        <v>503</v>
      </c>
      <c r="J52" s="84" t="s">
        <v>503</v>
      </c>
      <c r="K52" s="101" t="s">
        <v>700</v>
      </c>
      <c r="M52" s="101" t="str">
        <f t="shared" si="0"/>
        <v>Not Tracked</v>
      </c>
      <c r="O52" s="111" t="s">
        <v>390</v>
      </c>
      <c r="P52" s="110"/>
      <c r="Q52" s="108"/>
      <c r="R52" s="102" t="s">
        <v>699</v>
      </c>
      <c r="S52" s="102"/>
      <c r="T52" s="102"/>
      <c r="U52" s="115"/>
      <c r="V52" s="115"/>
      <c r="W52" s="115"/>
      <c r="X52" s="114"/>
    </row>
    <row r="53" spans="1:24" ht="39.75" hidden="1" customHeight="1">
      <c r="A53" s="54" t="s">
        <v>224</v>
      </c>
      <c r="B53" s="54" t="s">
        <v>225</v>
      </c>
      <c r="C53" s="54" t="s">
        <v>532</v>
      </c>
      <c r="D53" s="54" t="s">
        <v>227</v>
      </c>
      <c r="E53" s="54" t="s">
        <v>21</v>
      </c>
      <c r="F53" s="54" t="s">
        <v>23</v>
      </c>
      <c r="G53" s="54" t="s">
        <v>499</v>
      </c>
      <c r="H53" s="93" t="s">
        <v>524</v>
      </c>
      <c r="I53" s="83" t="s">
        <v>524</v>
      </c>
      <c r="J53" s="84" t="s">
        <v>524</v>
      </c>
      <c r="K53" s="101" t="s">
        <v>700</v>
      </c>
      <c r="M53" s="101" t="str">
        <f t="shared" si="0"/>
        <v>Not Tracked</v>
      </c>
      <c r="O53" s="111" t="s">
        <v>390</v>
      </c>
      <c r="P53" s="110"/>
      <c r="Q53" s="108"/>
      <c r="R53" s="102" t="s">
        <v>699</v>
      </c>
      <c r="S53" s="102"/>
      <c r="T53" s="102"/>
      <c r="U53" s="115"/>
      <c r="V53" s="115"/>
      <c r="W53" s="115"/>
      <c r="X53" s="114"/>
    </row>
    <row r="54" spans="1:24" ht="39.75" hidden="1" customHeight="1">
      <c r="A54" s="54" t="s">
        <v>224</v>
      </c>
      <c r="B54" s="54" t="s">
        <v>225</v>
      </c>
      <c r="C54" s="54" t="s">
        <v>532</v>
      </c>
      <c r="D54" s="54" t="s">
        <v>582</v>
      </c>
      <c r="E54" s="54" t="s">
        <v>21</v>
      </c>
      <c r="F54" s="54" t="s">
        <v>24</v>
      </c>
      <c r="G54" s="54" t="s">
        <v>499</v>
      </c>
      <c r="H54" s="93" t="s">
        <v>524</v>
      </c>
      <c r="I54" s="83" t="s">
        <v>524</v>
      </c>
      <c r="J54" s="84" t="s">
        <v>524</v>
      </c>
      <c r="K54" s="101" t="s">
        <v>700</v>
      </c>
      <c r="M54" s="101" t="str">
        <f t="shared" si="0"/>
        <v>Not Tracked</v>
      </c>
      <c r="O54" s="111" t="s">
        <v>390</v>
      </c>
      <c r="P54" s="110"/>
      <c r="Q54" s="108"/>
      <c r="R54" s="102" t="s">
        <v>699</v>
      </c>
      <c r="S54" s="102"/>
      <c r="T54" s="102"/>
      <c r="U54" s="115"/>
      <c r="V54" s="115"/>
      <c r="W54" s="115"/>
      <c r="X54" s="114"/>
    </row>
    <row r="55" spans="1:24" ht="39.75" hidden="1" customHeight="1">
      <c r="A55" s="54" t="s">
        <v>224</v>
      </c>
      <c r="B55" s="54" t="s">
        <v>225</v>
      </c>
      <c r="C55" s="54" t="s">
        <v>532</v>
      </c>
      <c r="D55" s="54" t="s">
        <v>583</v>
      </c>
      <c r="E55" s="54" t="s">
        <v>21</v>
      </c>
      <c r="F55" s="54" t="s">
        <v>24</v>
      </c>
      <c r="G55" s="54" t="s">
        <v>499</v>
      </c>
      <c r="H55" s="93" t="s">
        <v>524</v>
      </c>
      <c r="I55" s="83" t="s">
        <v>524</v>
      </c>
      <c r="J55" s="84" t="s">
        <v>524</v>
      </c>
      <c r="K55" s="101" t="s">
        <v>700</v>
      </c>
      <c r="M55" s="101" t="str">
        <f t="shared" si="0"/>
        <v>Not Tracked</v>
      </c>
      <c r="O55" s="111" t="s">
        <v>390</v>
      </c>
      <c r="P55" s="110"/>
      <c r="Q55" s="108"/>
      <c r="R55" s="102" t="s">
        <v>699</v>
      </c>
      <c r="S55" s="102"/>
      <c r="T55" s="102"/>
      <c r="U55" s="115"/>
      <c r="V55" s="115"/>
      <c r="W55" s="115"/>
      <c r="X55" s="114"/>
    </row>
    <row r="56" spans="1:24" ht="39.75" hidden="1" customHeight="1">
      <c r="A56" s="140" t="s">
        <v>229</v>
      </c>
      <c r="B56" s="140" t="s">
        <v>230</v>
      </c>
      <c r="C56" s="140" t="s">
        <v>532</v>
      </c>
      <c r="D56" s="140" t="s">
        <v>232</v>
      </c>
      <c r="E56" s="140" t="s">
        <v>21</v>
      </c>
      <c r="F56" s="140" t="s">
        <v>23</v>
      </c>
      <c r="G56" s="140" t="s">
        <v>502</v>
      </c>
      <c r="H56" s="93" t="s">
        <v>584</v>
      </c>
      <c r="I56" s="83" t="s">
        <v>585</v>
      </c>
      <c r="J56" s="84" t="s">
        <v>586</v>
      </c>
      <c r="K56" s="101" t="s">
        <v>700</v>
      </c>
      <c r="M56" s="101" t="str">
        <f t="shared" si="0"/>
        <v>Not Tracked</v>
      </c>
      <c r="N56" s="131" t="s">
        <v>713</v>
      </c>
      <c r="O56" s="111" t="s">
        <v>390</v>
      </c>
      <c r="P56" s="110"/>
      <c r="Q56" s="108"/>
      <c r="R56" s="102" t="s">
        <v>697</v>
      </c>
      <c r="S56" s="102">
        <v>3</v>
      </c>
      <c r="T56" s="102">
        <v>10</v>
      </c>
      <c r="U56" s="115"/>
      <c r="V56" s="115"/>
      <c r="W56" s="115"/>
      <c r="X56" s="114"/>
    </row>
    <row r="57" spans="1:24" ht="39.75" hidden="1" customHeight="1">
      <c r="A57" s="54" t="s">
        <v>229</v>
      </c>
      <c r="B57" s="54" t="s">
        <v>230</v>
      </c>
      <c r="C57" s="54" t="s">
        <v>532</v>
      </c>
      <c r="D57" s="54" t="s">
        <v>233</v>
      </c>
      <c r="E57" s="54" t="s">
        <v>21</v>
      </c>
      <c r="F57" s="54" t="s">
        <v>25</v>
      </c>
      <c r="G57" s="54" t="s">
        <v>497</v>
      </c>
      <c r="H57" s="93" t="s">
        <v>503</v>
      </c>
      <c r="I57" s="83" t="s">
        <v>503</v>
      </c>
      <c r="J57" s="84" t="s">
        <v>503</v>
      </c>
      <c r="K57" s="101" t="s">
        <v>700</v>
      </c>
      <c r="M57" s="101" t="str">
        <f t="shared" si="0"/>
        <v>Not Tracked</v>
      </c>
      <c r="O57" s="111" t="s">
        <v>390</v>
      </c>
      <c r="P57" s="110"/>
      <c r="Q57" s="108"/>
      <c r="R57" s="102" t="s">
        <v>699</v>
      </c>
      <c r="S57" s="102"/>
      <c r="T57" s="102"/>
      <c r="U57" s="115"/>
      <c r="V57" s="115"/>
      <c r="W57" s="115"/>
      <c r="X57" s="114"/>
    </row>
    <row r="58" spans="1:24" ht="39.75" hidden="1" customHeight="1">
      <c r="A58" s="54" t="s">
        <v>229</v>
      </c>
      <c r="B58" s="54" t="s">
        <v>230</v>
      </c>
      <c r="C58" s="54" t="s">
        <v>532</v>
      </c>
      <c r="D58" s="54" t="s">
        <v>234</v>
      </c>
      <c r="E58" s="54" t="s">
        <v>53</v>
      </c>
      <c r="F58" s="54" t="s">
        <v>549</v>
      </c>
      <c r="G58" s="54" t="s">
        <v>502</v>
      </c>
      <c r="H58" s="93">
        <v>0</v>
      </c>
      <c r="I58" s="83">
        <v>0</v>
      </c>
      <c r="J58" s="84">
        <v>0</v>
      </c>
      <c r="K58" s="101" t="s">
        <v>700</v>
      </c>
      <c r="M58" s="101" t="str">
        <f t="shared" si="0"/>
        <v>Not Tracked</v>
      </c>
      <c r="N58" s="131" t="s">
        <v>719</v>
      </c>
      <c r="O58" s="111" t="s">
        <v>390</v>
      </c>
      <c r="P58" s="110"/>
      <c r="Q58" s="108"/>
      <c r="R58" s="102" t="s">
        <v>699</v>
      </c>
      <c r="S58" s="102"/>
      <c r="T58" s="102"/>
      <c r="U58" s="115"/>
      <c r="V58" s="115"/>
      <c r="W58" s="115"/>
      <c r="X58" s="114"/>
    </row>
    <row r="59" spans="1:24" ht="39.75" hidden="1" customHeight="1">
      <c r="A59" s="140" t="s">
        <v>235</v>
      </c>
      <c r="B59" s="140" t="s">
        <v>236</v>
      </c>
      <c r="C59" s="140" t="s">
        <v>532</v>
      </c>
      <c r="D59" s="140" t="s">
        <v>587</v>
      </c>
      <c r="E59" s="140" t="s">
        <v>21</v>
      </c>
      <c r="F59" s="140" t="s">
        <v>23</v>
      </c>
      <c r="G59" s="140" t="s">
        <v>502</v>
      </c>
      <c r="H59" s="97" t="s">
        <v>588</v>
      </c>
      <c r="I59" s="83" t="s">
        <v>589</v>
      </c>
      <c r="J59" s="84" t="s">
        <v>570</v>
      </c>
      <c r="K59" s="101" t="s">
        <v>700</v>
      </c>
      <c r="L59" s="116"/>
      <c r="M59" s="101" t="str">
        <f t="shared" si="0"/>
        <v>Not Tracked</v>
      </c>
      <c r="N59" s="131" t="s">
        <v>720</v>
      </c>
      <c r="O59" s="111" t="s">
        <v>390</v>
      </c>
      <c r="P59" s="110"/>
      <c r="Q59" s="108"/>
      <c r="R59" s="102" t="s">
        <v>701</v>
      </c>
      <c r="S59" s="113">
        <v>0.9</v>
      </c>
      <c r="T59" s="113">
        <v>0.75</v>
      </c>
      <c r="U59" s="115"/>
      <c r="V59" s="115"/>
      <c r="W59" s="115"/>
      <c r="X59" s="114"/>
    </row>
    <row r="60" spans="1:24" ht="39.75" customHeight="1">
      <c r="A60" s="54" t="s">
        <v>235</v>
      </c>
      <c r="B60" s="54" t="s">
        <v>236</v>
      </c>
      <c r="C60" s="54" t="s">
        <v>532</v>
      </c>
      <c r="D60" s="54" t="s">
        <v>590</v>
      </c>
      <c r="E60" s="54" t="s">
        <v>21</v>
      </c>
      <c r="F60" s="54" t="s">
        <v>24</v>
      </c>
      <c r="G60" s="54" t="s">
        <v>502</v>
      </c>
      <c r="H60" s="97" t="s">
        <v>588</v>
      </c>
      <c r="I60" s="83" t="s">
        <v>559</v>
      </c>
      <c r="J60" s="84" t="s">
        <v>545</v>
      </c>
      <c r="K60" s="101" t="s">
        <v>695</v>
      </c>
      <c r="L60" s="116">
        <v>0.94</v>
      </c>
      <c r="M60" s="101" t="str">
        <f t="shared" si="0"/>
        <v>Green</v>
      </c>
      <c r="N60" s="131" t="s">
        <v>720</v>
      </c>
      <c r="O60" s="111" t="s">
        <v>390</v>
      </c>
      <c r="P60" s="110"/>
      <c r="Q60" s="108"/>
      <c r="R60" s="102" t="s">
        <v>701</v>
      </c>
      <c r="S60" s="113">
        <v>0.9</v>
      </c>
      <c r="T60" s="113">
        <v>0.8</v>
      </c>
      <c r="U60" s="115"/>
      <c r="V60" s="115"/>
      <c r="W60" s="115"/>
      <c r="X60" s="114"/>
    </row>
    <row r="61" spans="1:24" ht="39.75" customHeight="1">
      <c r="A61" s="54" t="s">
        <v>235</v>
      </c>
      <c r="B61" s="54" t="s">
        <v>236</v>
      </c>
      <c r="C61" s="54" t="s">
        <v>532</v>
      </c>
      <c r="D61" s="54" t="s">
        <v>591</v>
      </c>
      <c r="E61" s="54" t="s">
        <v>21</v>
      </c>
      <c r="F61" s="54" t="s">
        <v>24</v>
      </c>
      <c r="G61" s="54" t="s">
        <v>502</v>
      </c>
      <c r="H61" s="97" t="s">
        <v>588</v>
      </c>
      <c r="I61" s="83" t="s">
        <v>559</v>
      </c>
      <c r="J61" s="84" t="s">
        <v>545</v>
      </c>
      <c r="K61" s="101" t="s">
        <v>695</v>
      </c>
      <c r="L61" s="116">
        <v>0.77800000000000002</v>
      </c>
      <c r="M61" s="101" t="str">
        <f t="shared" si="0"/>
        <v>Red</v>
      </c>
      <c r="N61" s="131" t="s">
        <v>717</v>
      </c>
      <c r="O61" s="111" t="s">
        <v>390</v>
      </c>
      <c r="P61" s="110"/>
      <c r="Q61" s="108"/>
      <c r="R61" s="102" t="s">
        <v>701</v>
      </c>
      <c r="S61" s="113">
        <v>0.9</v>
      </c>
      <c r="T61" s="113">
        <v>0.8</v>
      </c>
      <c r="U61" s="115"/>
      <c r="V61" s="115"/>
      <c r="W61" s="115"/>
      <c r="X61" s="114"/>
    </row>
    <row r="62" spans="1:24" ht="39.75" customHeight="1">
      <c r="A62" s="54" t="s">
        <v>235</v>
      </c>
      <c r="B62" s="54" t="s">
        <v>236</v>
      </c>
      <c r="C62" s="54" t="s">
        <v>532</v>
      </c>
      <c r="D62" s="54" t="s">
        <v>592</v>
      </c>
      <c r="E62" s="54" t="s">
        <v>21</v>
      </c>
      <c r="F62" s="54" t="s">
        <v>24</v>
      </c>
      <c r="G62" s="54" t="s">
        <v>502</v>
      </c>
      <c r="H62" s="93" t="s">
        <v>588</v>
      </c>
      <c r="I62" s="83" t="s">
        <v>589</v>
      </c>
      <c r="J62" s="84" t="s">
        <v>570</v>
      </c>
      <c r="K62" s="101" t="s">
        <v>695</v>
      </c>
      <c r="L62" s="116">
        <v>0.96</v>
      </c>
      <c r="M62" s="101" t="str">
        <f t="shared" si="0"/>
        <v>Green</v>
      </c>
      <c r="N62" s="131" t="s">
        <v>720</v>
      </c>
      <c r="O62" s="111" t="s">
        <v>390</v>
      </c>
      <c r="P62" s="110"/>
      <c r="Q62" s="108"/>
      <c r="R62" s="102" t="s">
        <v>701</v>
      </c>
      <c r="S62" s="113">
        <v>0.9</v>
      </c>
      <c r="T62" s="113">
        <v>0.75</v>
      </c>
      <c r="U62" s="115"/>
      <c r="V62" s="115"/>
      <c r="W62" s="115"/>
      <c r="X62" s="114"/>
    </row>
    <row r="63" spans="1:24" ht="39.75" hidden="1" customHeight="1">
      <c r="A63" s="54" t="s">
        <v>240</v>
      </c>
      <c r="B63" s="54" t="s">
        <v>241</v>
      </c>
      <c r="C63" s="54" t="s">
        <v>532</v>
      </c>
      <c r="D63" s="54" t="s">
        <v>243</v>
      </c>
      <c r="E63" s="54" t="s">
        <v>21</v>
      </c>
      <c r="F63" s="54" t="s">
        <v>25</v>
      </c>
      <c r="G63" s="54" t="s">
        <v>497</v>
      </c>
      <c r="H63" s="93" t="s">
        <v>503</v>
      </c>
      <c r="I63" s="83" t="s">
        <v>503</v>
      </c>
      <c r="J63" s="84" t="s">
        <v>503</v>
      </c>
      <c r="K63" s="101" t="s">
        <v>700</v>
      </c>
      <c r="M63" s="101" t="str">
        <f t="shared" si="0"/>
        <v>Not Tracked</v>
      </c>
      <c r="O63" s="111" t="s">
        <v>390</v>
      </c>
      <c r="P63" s="110"/>
      <c r="Q63" s="108"/>
      <c r="R63" s="102" t="s">
        <v>699</v>
      </c>
      <c r="S63" s="102"/>
      <c r="T63" s="102"/>
      <c r="U63" s="115"/>
      <c r="V63" s="115"/>
      <c r="W63" s="115"/>
      <c r="X63" s="114"/>
    </row>
    <row r="64" spans="1:24" ht="51.75" customHeight="1">
      <c r="A64" s="54" t="s">
        <v>240</v>
      </c>
      <c r="B64" s="54" t="s">
        <v>241</v>
      </c>
      <c r="C64" s="54" t="s">
        <v>532</v>
      </c>
      <c r="D64" s="54" t="s">
        <v>593</v>
      </c>
      <c r="E64" s="54" t="s">
        <v>53</v>
      </c>
      <c r="F64" s="54" t="s">
        <v>549</v>
      </c>
      <c r="G64" s="54" t="s">
        <v>497</v>
      </c>
      <c r="H64" s="93" t="s">
        <v>588</v>
      </c>
      <c r="I64" s="83" t="s">
        <v>589</v>
      </c>
      <c r="J64" s="84" t="s">
        <v>594</v>
      </c>
      <c r="K64" s="101" t="s">
        <v>695</v>
      </c>
      <c r="L64" s="116"/>
      <c r="M64" s="101" t="str">
        <f t="shared" si="0"/>
        <v>No Data</v>
      </c>
      <c r="N64" s="131" t="s">
        <v>721</v>
      </c>
      <c r="O64" s="111" t="s">
        <v>390</v>
      </c>
      <c r="P64" s="110"/>
      <c r="Q64" s="108"/>
      <c r="R64" s="102" t="s">
        <v>701</v>
      </c>
      <c r="S64" s="113">
        <v>0.9</v>
      </c>
      <c r="T64" s="113">
        <v>0.75</v>
      </c>
      <c r="U64" s="115"/>
      <c r="V64" s="115"/>
      <c r="W64" s="115"/>
      <c r="X64" s="114"/>
    </row>
    <row r="65" spans="1:24" ht="39.75" customHeight="1">
      <c r="A65" s="54" t="s">
        <v>240</v>
      </c>
      <c r="B65" s="54" t="s">
        <v>241</v>
      </c>
      <c r="C65" s="54" t="s">
        <v>532</v>
      </c>
      <c r="D65" s="54" t="s">
        <v>595</v>
      </c>
      <c r="E65" s="54" t="s">
        <v>53</v>
      </c>
      <c r="F65" s="54" t="s">
        <v>549</v>
      </c>
      <c r="G65" s="54" t="s">
        <v>502</v>
      </c>
      <c r="H65" s="93" t="s">
        <v>588</v>
      </c>
      <c r="I65" s="83" t="s">
        <v>589</v>
      </c>
      <c r="J65" s="84" t="s">
        <v>594</v>
      </c>
      <c r="K65" s="101" t="s">
        <v>695</v>
      </c>
      <c r="L65" s="117">
        <v>0.93</v>
      </c>
      <c r="M65" s="101" t="str">
        <f t="shared" si="0"/>
        <v>Green</v>
      </c>
      <c r="N65" s="131" t="s">
        <v>722</v>
      </c>
      <c r="O65" s="111" t="s">
        <v>390</v>
      </c>
      <c r="P65" s="110"/>
      <c r="Q65" s="108"/>
      <c r="R65" s="102" t="s">
        <v>697</v>
      </c>
      <c r="S65" s="102">
        <v>5</v>
      </c>
      <c r="T65" s="102">
        <v>30</v>
      </c>
      <c r="U65" s="115"/>
      <c r="V65" s="115"/>
      <c r="W65" s="115"/>
      <c r="X65" s="114"/>
    </row>
    <row r="66" spans="1:24" ht="39.75" customHeight="1">
      <c r="A66" s="54" t="s">
        <v>240</v>
      </c>
      <c r="B66" s="54" t="s">
        <v>241</v>
      </c>
      <c r="C66" s="54" t="s">
        <v>532</v>
      </c>
      <c r="D66" s="54" t="s">
        <v>245</v>
      </c>
      <c r="E66" s="54" t="s">
        <v>53</v>
      </c>
      <c r="F66" s="54" t="s">
        <v>504</v>
      </c>
      <c r="G66" s="54" t="s">
        <v>502</v>
      </c>
      <c r="H66" s="93" t="s">
        <v>599</v>
      </c>
      <c r="I66" s="83" t="s">
        <v>600</v>
      </c>
      <c r="J66" s="84" t="s">
        <v>601</v>
      </c>
      <c r="K66" s="101" t="s">
        <v>695</v>
      </c>
      <c r="L66" s="116"/>
      <c r="M66" s="101" t="str">
        <f t="shared" si="0"/>
        <v>No Data</v>
      </c>
      <c r="N66" s="132" t="s">
        <v>717</v>
      </c>
      <c r="O66" s="111" t="s">
        <v>390</v>
      </c>
      <c r="P66" s="110"/>
      <c r="Q66" s="108"/>
      <c r="R66" s="102" t="s">
        <v>701</v>
      </c>
      <c r="S66" s="113">
        <v>0.85</v>
      </c>
      <c r="T66" s="113">
        <v>0.7</v>
      </c>
      <c r="U66" s="115"/>
      <c r="V66" s="115"/>
      <c r="W66" s="115"/>
      <c r="X66" s="114"/>
    </row>
    <row r="67" spans="1:24" s="92" customFormat="1" ht="39.75" customHeight="1">
      <c r="A67" s="54" t="s">
        <v>246</v>
      </c>
      <c r="B67" s="54" t="s">
        <v>247</v>
      </c>
      <c r="C67" s="54" t="s">
        <v>532</v>
      </c>
      <c r="D67" s="54" t="s">
        <v>602</v>
      </c>
      <c r="E67" s="54" t="s">
        <v>21</v>
      </c>
      <c r="F67" s="54" t="s">
        <v>23</v>
      </c>
      <c r="G67" s="54" t="s">
        <v>502</v>
      </c>
      <c r="H67" s="93" t="s">
        <v>599</v>
      </c>
      <c r="I67" s="83" t="s">
        <v>603</v>
      </c>
      <c r="J67" s="84" t="s">
        <v>604</v>
      </c>
      <c r="K67" s="101" t="s">
        <v>695</v>
      </c>
      <c r="L67" s="133"/>
      <c r="M67" s="101" t="str">
        <f t="shared" si="0"/>
        <v>No Data</v>
      </c>
      <c r="N67" s="130" t="s">
        <v>723</v>
      </c>
      <c r="O67" s="111" t="s">
        <v>390</v>
      </c>
      <c r="P67" s="110"/>
      <c r="Q67" s="108"/>
      <c r="R67" s="102" t="s">
        <v>701</v>
      </c>
      <c r="S67" s="113">
        <v>0.85</v>
      </c>
      <c r="T67" s="113">
        <v>0.65</v>
      </c>
      <c r="U67" s="115"/>
      <c r="V67" s="115"/>
      <c r="W67" s="115"/>
      <c r="X67" s="114"/>
    </row>
    <row r="68" spans="1:24" ht="39.75" hidden="1" customHeight="1">
      <c r="A68" s="54" t="s">
        <v>246</v>
      </c>
      <c r="B68" s="54" t="s">
        <v>247</v>
      </c>
      <c r="C68" s="54" t="s">
        <v>532</v>
      </c>
      <c r="D68" s="54" t="s">
        <v>605</v>
      </c>
      <c r="E68" s="54" t="s">
        <v>21</v>
      </c>
      <c r="F68" s="54" t="s">
        <v>23</v>
      </c>
      <c r="G68" s="54" t="s">
        <v>499</v>
      </c>
      <c r="H68" s="93" t="s">
        <v>524</v>
      </c>
      <c r="I68" s="83" t="s">
        <v>524</v>
      </c>
      <c r="J68" s="84" t="s">
        <v>524</v>
      </c>
      <c r="K68" s="101" t="s">
        <v>700</v>
      </c>
      <c r="M68" s="101" t="str">
        <f t="shared" si="0"/>
        <v>Not Tracked</v>
      </c>
      <c r="O68" s="111" t="s">
        <v>390</v>
      </c>
      <c r="P68" s="110"/>
      <c r="Q68" s="108"/>
      <c r="R68" s="102" t="s">
        <v>699</v>
      </c>
      <c r="S68" s="102"/>
      <c r="T68" s="102"/>
      <c r="U68" s="115"/>
      <c r="V68" s="115"/>
      <c r="W68" s="115"/>
      <c r="X68" s="114"/>
    </row>
    <row r="69" spans="1:24" ht="39.75" hidden="1" customHeight="1">
      <c r="A69" s="54" t="s">
        <v>246</v>
      </c>
      <c r="B69" s="54" t="s">
        <v>247</v>
      </c>
      <c r="C69" s="54" t="s">
        <v>532</v>
      </c>
      <c r="D69" s="54" t="s">
        <v>606</v>
      </c>
      <c r="E69" s="54" t="s">
        <v>21</v>
      </c>
      <c r="F69" s="54" t="s">
        <v>23</v>
      </c>
      <c r="G69" s="54" t="s">
        <v>499</v>
      </c>
      <c r="H69" s="93" t="s">
        <v>524</v>
      </c>
      <c r="I69" s="83" t="s">
        <v>524</v>
      </c>
      <c r="J69" s="84" t="s">
        <v>524</v>
      </c>
      <c r="K69" s="101" t="s">
        <v>700</v>
      </c>
      <c r="M69" s="101" t="str">
        <f t="shared" si="0"/>
        <v>Not Tracked</v>
      </c>
      <c r="O69" s="111" t="s">
        <v>390</v>
      </c>
      <c r="P69" s="110"/>
      <c r="Q69" s="108"/>
      <c r="R69" s="102" t="s">
        <v>699</v>
      </c>
      <c r="S69" s="102"/>
      <c r="T69" s="102"/>
      <c r="U69" s="115"/>
      <c r="V69" s="115"/>
      <c r="W69" s="115"/>
      <c r="X69" s="114"/>
    </row>
    <row r="70" spans="1:24" ht="39.75" customHeight="1">
      <c r="A70" s="54" t="s">
        <v>246</v>
      </c>
      <c r="B70" s="54" t="s">
        <v>247</v>
      </c>
      <c r="C70" s="54" t="s">
        <v>532</v>
      </c>
      <c r="D70" s="54" t="s">
        <v>607</v>
      </c>
      <c r="E70" s="54" t="s">
        <v>21</v>
      </c>
      <c r="F70" s="54" t="s">
        <v>24</v>
      </c>
      <c r="G70" s="54" t="s">
        <v>502</v>
      </c>
      <c r="H70" s="93" t="s">
        <v>599</v>
      </c>
      <c r="I70" s="83" t="s">
        <v>600</v>
      </c>
      <c r="J70" s="84" t="s">
        <v>601</v>
      </c>
      <c r="K70" s="101" t="s">
        <v>695</v>
      </c>
      <c r="L70" s="116">
        <f>AVERAGE(L86,L94)</f>
        <v>0.95429999999999993</v>
      </c>
      <c r="M70" s="101" t="str">
        <f t="shared" si="0"/>
        <v>Green</v>
      </c>
      <c r="N70" s="131" t="str">
        <f>N86&amp;" / "&amp;N94</f>
        <v>https://app.powerbi.com/groups/me/apps/edf61692-3af5-4aba-af7e-ef1de76ce451/reports/7f263ef8-0c4e-4dbd-8c84-2d5d029a1085/e5ac827acf52df1bdc6a?ctid=61e6eeb3-5fd7-4aaa-ae3c-61e8deb09b79&amp;experience=power-bi / https://app.powerbi.com/groups/me/apps/edf61692-3af5-4aba-af7e-ef1de76ce451/reports/7f263ef8-0c4e-4dbd-8c84-2d5d029a1085/185501d1d1107d800e43?ctid=61e6eeb3-5fd7-4aaa-ae3c-61e8deb09b79&amp;experience=power-bi</v>
      </c>
      <c r="O70" s="111" t="s">
        <v>390</v>
      </c>
      <c r="P70" s="110">
        <v>46223</v>
      </c>
      <c r="Q70" s="108"/>
      <c r="R70" s="102" t="s">
        <v>701</v>
      </c>
      <c r="S70" s="113">
        <v>0.85</v>
      </c>
      <c r="T70" s="113">
        <v>0.7</v>
      </c>
      <c r="U70" s="115"/>
      <c r="V70" s="115"/>
      <c r="W70" s="115"/>
      <c r="X70" s="114"/>
    </row>
    <row r="71" spans="1:24" ht="39.75" customHeight="1">
      <c r="A71" s="54" t="s">
        <v>246</v>
      </c>
      <c r="B71" s="54" t="s">
        <v>247</v>
      </c>
      <c r="C71" s="54" t="s">
        <v>532</v>
      </c>
      <c r="D71" s="54" t="s">
        <v>608</v>
      </c>
      <c r="E71" s="54" t="s">
        <v>21</v>
      </c>
      <c r="F71" s="54" t="s">
        <v>24</v>
      </c>
      <c r="G71" s="54" t="s">
        <v>502</v>
      </c>
      <c r="H71" s="93" t="s">
        <v>599</v>
      </c>
      <c r="I71" s="83" t="s">
        <v>600</v>
      </c>
      <c r="J71" s="84" t="s">
        <v>601</v>
      </c>
      <c r="K71" s="101" t="s">
        <v>695</v>
      </c>
      <c r="L71" s="116">
        <f>AVERAGE(L85,L95)</f>
        <v>0.86650000000000005</v>
      </c>
      <c r="M71" s="101" t="str">
        <f t="shared" ref="M71:M132" si="2">IF(K71="Not Tracking","Not Tracked",IF(L71="","No Data",IF(R71="Higher is Better",IF(L71&gt;=S71,"Green",IF(L71&gt;=T71,"Yellow","Red")),IF(R71="Lower is Better",IF(L71&lt;=S71,"Green",IF(L71&lt;=T71,"Yellow","Red")),"Manual Review"))))</f>
        <v>Green</v>
      </c>
      <c r="N71" s="131" t="str">
        <f>N85&amp;" / "&amp;N95</f>
        <v>https://app.powerbi.com/groups/4f9c84ba-b5d3-4eda-a86b-41fbb3b3bc4a/reports/af9ba6b3-8092-4e0c-bb52-4f8903b1b861/77b2e5ed1050bc711c70?experience=power-bi / https://app.powerbi.com/groups/4f9c84ba-b5d3-4eda-a86b-41fbb3b3bc4a/reports/af9ba6b3-8092-4e0c-bb52-4f8903b1b861/77b2e5ed1050bc711c70?experience=power-bi</v>
      </c>
      <c r="O71" s="111" t="s">
        <v>390</v>
      </c>
      <c r="P71" s="110">
        <v>46223</v>
      </c>
      <c r="Q71" s="108"/>
      <c r="R71" s="102" t="s">
        <v>701</v>
      </c>
      <c r="S71" s="113">
        <v>0.85</v>
      </c>
      <c r="T71" s="113">
        <v>0.7</v>
      </c>
      <c r="U71" s="115"/>
      <c r="V71" s="115"/>
      <c r="W71" s="115"/>
      <c r="X71" s="114"/>
    </row>
    <row r="72" spans="1:24" s="92" customFormat="1" ht="39.75" customHeight="1">
      <c r="A72" s="54" t="s">
        <v>251</v>
      </c>
      <c r="B72" s="54" t="s">
        <v>247</v>
      </c>
      <c r="C72" s="54" t="s">
        <v>532</v>
      </c>
      <c r="D72" s="54" t="s">
        <v>602</v>
      </c>
      <c r="E72" s="54" t="s">
        <v>21</v>
      </c>
      <c r="F72" s="54" t="s">
        <v>23</v>
      </c>
      <c r="G72" s="54" t="s">
        <v>502</v>
      </c>
      <c r="H72" s="93" t="s">
        <v>588</v>
      </c>
      <c r="I72" s="83" t="s">
        <v>559</v>
      </c>
      <c r="J72" s="84" t="s">
        <v>545</v>
      </c>
      <c r="K72" s="101" t="s">
        <v>695</v>
      </c>
      <c r="L72" s="116"/>
      <c r="M72" s="101" t="str">
        <f t="shared" si="2"/>
        <v>No Data</v>
      </c>
      <c r="N72" s="116"/>
      <c r="O72" s="111" t="s">
        <v>390</v>
      </c>
      <c r="P72" s="110"/>
      <c r="Q72" s="108"/>
      <c r="R72" s="102" t="s">
        <v>701</v>
      </c>
      <c r="S72" s="113">
        <v>0.9</v>
      </c>
      <c r="T72" s="113">
        <v>0.8</v>
      </c>
      <c r="U72" s="115"/>
      <c r="V72" s="115"/>
      <c r="W72" s="115"/>
      <c r="X72" s="114"/>
    </row>
    <row r="73" spans="1:24" ht="39.75" customHeight="1">
      <c r="A73" s="54" t="s">
        <v>251</v>
      </c>
      <c r="B73" s="54" t="s">
        <v>247</v>
      </c>
      <c r="C73" s="54" t="s">
        <v>532</v>
      </c>
      <c r="D73" s="54" t="s">
        <v>609</v>
      </c>
      <c r="E73" s="54" t="s">
        <v>21</v>
      </c>
      <c r="F73" s="54" t="s">
        <v>24</v>
      </c>
      <c r="G73" s="54" t="s">
        <v>502</v>
      </c>
      <c r="H73" s="93" t="s">
        <v>599</v>
      </c>
      <c r="I73" s="83" t="s">
        <v>600</v>
      </c>
      <c r="J73" s="84" t="s">
        <v>601</v>
      </c>
      <c r="K73" s="101" t="s">
        <v>695</v>
      </c>
      <c r="L73" s="116"/>
      <c r="M73" s="101" t="str">
        <f t="shared" si="2"/>
        <v>No Data</v>
      </c>
      <c r="N73" s="131" t="s">
        <v>716</v>
      </c>
      <c r="O73" s="111" t="s">
        <v>390</v>
      </c>
      <c r="P73" s="110"/>
      <c r="Q73" s="108"/>
      <c r="R73" s="102" t="s">
        <v>701</v>
      </c>
      <c r="S73" s="113">
        <v>0.85</v>
      </c>
      <c r="T73" s="113">
        <v>0.7</v>
      </c>
      <c r="U73" s="115"/>
      <c r="V73" s="115"/>
      <c r="W73" s="115"/>
      <c r="X73" s="114"/>
    </row>
    <row r="74" spans="1:24" ht="39.75" customHeight="1">
      <c r="A74" s="54" t="s">
        <v>251</v>
      </c>
      <c r="B74" s="54" t="s">
        <v>247</v>
      </c>
      <c r="C74" s="54" t="s">
        <v>532</v>
      </c>
      <c r="D74" s="54" t="s">
        <v>610</v>
      </c>
      <c r="E74" s="54" t="s">
        <v>21</v>
      </c>
      <c r="F74" s="54" t="s">
        <v>24</v>
      </c>
      <c r="G74" s="54" t="s">
        <v>502</v>
      </c>
      <c r="H74" s="93" t="s">
        <v>599</v>
      </c>
      <c r="I74" s="83" t="s">
        <v>600</v>
      </c>
      <c r="J74" s="84" t="s">
        <v>601</v>
      </c>
      <c r="K74" s="101" t="s">
        <v>695</v>
      </c>
      <c r="L74" s="116"/>
      <c r="M74" s="101" t="str">
        <f t="shared" si="2"/>
        <v>No Data</v>
      </c>
      <c r="N74" s="131" t="s">
        <v>716</v>
      </c>
      <c r="O74" s="111" t="s">
        <v>390</v>
      </c>
      <c r="P74" s="110"/>
      <c r="Q74" s="108"/>
      <c r="R74" s="102" t="s">
        <v>701</v>
      </c>
      <c r="S74" s="113">
        <v>0.85</v>
      </c>
      <c r="T74" s="113">
        <v>0.7</v>
      </c>
      <c r="U74" s="115"/>
      <c r="V74" s="115"/>
      <c r="W74" s="115"/>
      <c r="X74" s="114"/>
    </row>
    <row r="75" spans="1:24" ht="39.75" customHeight="1">
      <c r="A75" s="54" t="s">
        <v>255</v>
      </c>
      <c r="B75" s="54" t="s">
        <v>256</v>
      </c>
      <c r="C75" s="54" t="s">
        <v>532</v>
      </c>
      <c r="D75" s="54" t="s">
        <v>611</v>
      </c>
      <c r="E75" s="54" t="s">
        <v>21</v>
      </c>
      <c r="F75" s="54" t="s">
        <v>23</v>
      </c>
      <c r="G75" s="54" t="s">
        <v>497</v>
      </c>
      <c r="H75" s="93" t="s">
        <v>612</v>
      </c>
      <c r="I75" s="83" t="s">
        <v>613</v>
      </c>
      <c r="J75" s="84" t="s">
        <v>614</v>
      </c>
      <c r="K75" s="101" t="s">
        <v>695</v>
      </c>
      <c r="M75" s="101" t="str">
        <f t="shared" si="2"/>
        <v>No Data</v>
      </c>
      <c r="O75" s="111" t="s">
        <v>390</v>
      </c>
      <c r="P75" s="110"/>
      <c r="Q75" s="108" t="s">
        <v>724</v>
      </c>
      <c r="R75" s="102" t="s">
        <v>697</v>
      </c>
      <c r="S75" s="102">
        <v>3</v>
      </c>
      <c r="T75" s="102">
        <v>6</v>
      </c>
      <c r="U75" s="115"/>
      <c r="V75" s="115"/>
      <c r="W75" s="115"/>
      <c r="X75" s="114"/>
    </row>
    <row r="76" spans="1:24" ht="39.75" hidden="1" customHeight="1">
      <c r="A76" s="140" t="s">
        <v>255</v>
      </c>
      <c r="B76" s="140" t="s">
        <v>256</v>
      </c>
      <c r="C76" s="140" t="s">
        <v>532</v>
      </c>
      <c r="D76" s="140" t="s">
        <v>615</v>
      </c>
      <c r="E76" s="140" t="s">
        <v>21</v>
      </c>
      <c r="F76" s="140" t="s">
        <v>23</v>
      </c>
      <c r="G76" s="140" t="s">
        <v>497</v>
      </c>
      <c r="H76" s="93" t="s">
        <v>612</v>
      </c>
      <c r="I76" s="83" t="s">
        <v>613</v>
      </c>
      <c r="J76" s="84" t="s">
        <v>614</v>
      </c>
      <c r="K76" s="101" t="s">
        <v>700</v>
      </c>
      <c r="L76" s="101">
        <v>3</v>
      </c>
      <c r="M76" s="101" t="str">
        <f t="shared" si="2"/>
        <v>Not Tracked</v>
      </c>
      <c r="N76" s="132" t="s">
        <v>725</v>
      </c>
      <c r="O76" s="111" t="s">
        <v>390</v>
      </c>
      <c r="P76" s="110">
        <v>46223</v>
      </c>
      <c r="Q76" s="108"/>
      <c r="R76" s="102" t="s">
        <v>697</v>
      </c>
      <c r="S76" s="102">
        <v>3</v>
      </c>
      <c r="T76" s="102">
        <v>6</v>
      </c>
      <c r="U76" s="115"/>
      <c r="V76" s="115"/>
      <c r="W76" s="115"/>
      <c r="X76" s="114"/>
    </row>
    <row r="77" spans="1:24" ht="39.75" customHeight="1">
      <c r="A77" s="54" t="s">
        <v>255</v>
      </c>
      <c r="B77" s="54" t="s">
        <v>256</v>
      </c>
      <c r="C77" s="54" t="s">
        <v>532</v>
      </c>
      <c r="D77" s="54" t="s">
        <v>616</v>
      </c>
      <c r="E77" s="54" t="s">
        <v>21</v>
      </c>
      <c r="F77" s="54" t="s">
        <v>24</v>
      </c>
      <c r="G77" s="54" t="s">
        <v>497</v>
      </c>
      <c r="H77" s="93">
        <v>0</v>
      </c>
      <c r="I77" s="83" t="s">
        <v>524</v>
      </c>
      <c r="J77" s="84" t="s">
        <v>617</v>
      </c>
      <c r="K77" s="101" t="s">
        <v>695</v>
      </c>
      <c r="M77" s="101" t="str">
        <f t="shared" si="2"/>
        <v>No Data</v>
      </c>
      <c r="N77" s="54" t="s">
        <v>726</v>
      </c>
      <c r="O77" s="111" t="s">
        <v>390</v>
      </c>
      <c r="P77" s="110"/>
      <c r="Q77" s="108"/>
      <c r="R77" s="102" t="s">
        <v>697</v>
      </c>
      <c r="S77" s="102">
        <v>0</v>
      </c>
      <c r="T77" s="102">
        <v>1</v>
      </c>
      <c r="U77" s="115"/>
      <c r="V77" s="115"/>
      <c r="W77" s="115"/>
      <c r="X77" s="114"/>
    </row>
    <row r="78" spans="1:24" ht="39.75" customHeight="1">
      <c r="A78" s="54" t="s">
        <v>255</v>
      </c>
      <c r="B78" s="54" t="s">
        <v>256</v>
      </c>
      <c r="C78" s="54" t="s">
        <v>532</v>
      </c>
      <c r="D78" s="54" t="s">
        <v>618</v>
      </c>
      <c r="E78" s="54" t="s">
        <v>21</v>
      </c>
      <c r="F78" s="54" t="s">
        <v>24</v>
      </c>
      <c r="G78" s="54" t="s">
        <v>497</v>
      </c>
      <c r="H78" s="97" t="s">
        <v>727</v>
      </c>
      <c r="I78" s="83" t="s">
        <v>728</v>
      </c>
      <c r="J78" s="84" t="s">
        <v>620</v>
      </c>
      <c r="K78" s="101" t="s">
        <v>695</v>
      </c>
      <c r="L78" s="116">
        <v>0.98</v>
      </c>
      <c r="M78" s="101" t="str">
        <f t="shared" si="2"/>
        <v>Green</v>
      </c>
      <c r="N78" s="132" t="s">
        <v>729</v>
      </c>
      <c r="O78" s="111" t="s">
        <v>390</v>
      </c>
      <c r="P78" s="110">
        <v>46223</v>
      </c>
      <c r="Q78" s="108"/>
      <c r="R78" s="102" t="s">
        <v>701</v>
      </c>
      <c r="S78" s="113">
        <f>95/100</f>
        <v>0.95</v>
      </c>
      <c r="T78" s="113">
        <v>0.85</v>
      </c>
      <c r="U78" s="115"/>
      <c r="V78" s="115"/>
      <c r="W78" s="115"/>
      <c r="X78" s="114"/>
    </row>
    <row r="79" spans="1:24" ht="39.75" customHeight="1">
      <c r="A79" s="54" t="s">
        <v>255</v>
      </c>
      <c r="B79" s="54" t="s">
        <v>256</v>
      </c>
      <c r="C79" s="54" t="s">
        <v>532</v>
      </c>
      <c r="D79" s="54" t="s">
        <v>621</v>
      </c>
      <c r="E79" s="54" t="s">
        <v>21</v>
      </c>
      <c r="F79" s="54" t="s">
        <v>24</v>
      </c>
      <c r="G79" s="54" t="s">
        <v>497</v>
      </c>
      <c r="H79" s="97" t="s">
        <v>727</v>
      </c>
      <c r="I79" s="83" t="s">
        <v>728</v>
      </c>
      <c r="J79" s="84" t="s">
        <v>620</v>
      </c>
      <c r="K79" s="101" t="s">
        <v>695</v>
      </c>
      <c r="L79" s="116">
        <v>0.98</v>
      </c>
      <c r="M79" s="101" t="str">
        <f t="shared" si="2"/>
        <v>Green</v>
      </c>
      <c r="N79" s="132" t="s">
        <v>730</v>
      </c>
      <c r="O79" s="111" t="s">
        <v>390</v>
      </c>
      <c r="P79" s="110">
        <v>46223</v>
      </c>
      <c r="Q79" s="108"/>
      <c r="R79" s="102" t="s">
        <v>701</v>
      </c>
      <c r="S79" s="113">
        <f>95/100</f>
        <v>0.95</v>
      </c>
      <c r="T79" s="113">
        <v>0.85</v>
      </c>
      <c r="U79" s="115"/>
      <c r="V79" s="115"/>
      <c r="W79" s="115"/>
      <c r="X79" s="114"/>
    </row>
    <row r="80" spans="1:24" ht="39.75" customHeight="1">
      <c r="A80" s="54" t="s">
        <v>260</v>
      </c>
      <c r="B80" s="54" t="s">
        <v>261</v>
      </c>
      <c r="C80" s="54" t="s">
        <v>532</v>
      </c>
      <c r="D80" s="54" t="s">
        <v>263</v>
      </c>
      <c r="E80" s="54" t="s">
        <v>21</v>
      </c>
      <c r="F80" s="54" t="s">
        <v>23</v>
      </c>
      <c r="G80" s="54" t="s">
        <v>502</v>
      </c>
      <c r="H80" s="93" t="s">
        <v>622</v>
      </c>
      <c r="I80" s="83" t="s">
        <v>623</v>
      </c>
      <c r="J80" s="84" t="s">
        <v>624</v>
      </c>
      <c r="K80" s="101" t="s">
        <v>695</v>
      </c>
      <c r="M80" s="101" t="str">
        <f t="shared" si="2"/>
        <v>No Data</v>
      </c>
      <c r="N80" s="132" t="s">
        <v>731</v>
      </c>
      <c r="O80" s="111" t="s">
        <v>390</v>
      </c>
      <c r="P80" s="110"/>
      <c r="Q80" s="108"/>
      <c r="R80" s="102" t="s">
        <v>697</v>
      </c>
      <c r="S80" s="102">
        <v>5</v>
      </c>
      <c r="T80" s="102">
        <v>10</v>
      </c>
      <c r="U80" s="115"/>
      <c r="V80" s="115"/>
      <c r="W80" s="115"/>
      <c r="X80" s="114"/>
    </row>
    <row r="81" spans="1:24" ht="39.75" customHeight="1">
      <c r="A81" s="54" t="s">
        <v>260</v>
      </c>
      <c r="B81" s="54" t="s">
        <v>261</v>
      </c>
      <c r="C81" s="54" t="s">
        <v>532</v>
      </c>
      <c r="D81" s="54" t="s">
        <v>608</v>
      </c>
      <c r="E81" s="54" t="s">
        <v>21</v>
      </c>
      <c r="F81" s="54" t="s">
        <v>24</v>
      </c>
      <c r="G81" s="54" t="s">
        <v>502</v>
      </c>
      <c r="H81" s="93" t="s">
        <v>599</v>
      </c>
      <c r="I81" s="83" t="s">
        <v>600</v>
      </c>
      <c r="J81" s="84" t="s">
        <v>601</v>
      </c>
      <c r="K81" s="101" t="s">
        <v>695</v>
      </c>
      <c r="L81" s="116"/>
      <c r="M81" s="101" t="str">
        <f t="shared" si="2"/>
        <v>No Data</v>
      </c>
      <c r="N81" s="132" t="s">
        <v>732</v>
      </c>
      <c r="O81" s="111" t="s">
        <v>390</v>
      </c>
      <c r="P81" s="110"/>
      <c r="Q81" s="108"/>
      <c r="R81" s="102" t="s">
        <v>701</v>
      </c>
      <c r="S81" s="113">
        <v>0.85</v>
      </c>
      <c r="T81" s="113">
        <v>0.7</v>
      </c>
      <c r="U81" s="115"/>
      <c r="V81" s="115"/>
      <c r="W81" s="115"/>
      <c r="X81" s="114"/>
    </row>
    <row r="82" spans="1:24" ht="39.75" customHeight="1">
      <c r="A82" s="54" t="s">
        <v>260</v>
      </c>
      <c r="B82" s="54" t="s">
        <v>261</v>
      </c>
      <c r="C82" s="54" t="s">
        <v>532</v>
      </c>
      <c r="D82" s="54" t="s">
        <v>607</v>
      </c>
      <c r="E82" s="54" t="s">
        <v>21</v>
      </c>
      <c r="F82" s="54" t="s">
        <v>24</v>
      </c>
      <c r="G82" s="54" t="s">
        <v>502</v>
      </c>
      <c r="H82" s="93" t="s">
        <v>599</v>
      </c>
      <c r="I82" s="83" t="s">
        <v>600</v>
      </c>
      <c r="J82" s="84" t="s">
        <v>601</v>
      </c>
      <c r="K82" s="101" t="s">
        <v>695</v>
      </c>
      <c r="L82" s="116">
        <v>0.9</v>
      </c>
      <c r="M82" s="101" t="str">
        <f t="shared" si="2"/>
        <v>Green</v>
      </c>
      <c r="N82" s="132" t="s">
        <v>733</v>
      </c>
      <c r="O82" s="111" t="s">
        <v>390</v>
      </c>
      <c r="P82" s="110"/>
      <c r="Q82" s="108"/>
      <c r="R82" s="102" t="s">
        <v>701</v>
      </c>
      <c r="S82" s="113">
        <v>0.85</v>
      </c>
      <c r="T82" s="113">
        <v>0.7</v>
      </c>
      <c r="U82" s="115"/>
      <c r="V82" s="115"/>
      <c r="W82" s="115"/>
      <c r="X82" s="114"/>
    </row>
    <row r="83" spans="1:24" ht="39.75" customHeight="1">
      <c r="A83" s="54" t="s">
        <v>260</v>
      </c>
      <c r="B83" s="54" t="s">
        <v>261</v>
      </c>
      <c r="C83" s="54" t="s">
        <v>532</v>
      </c>
      <c r="D83" s="54" t="s">
        <v>625</v>
      </c>
      <c r="E83" s="54" t="s">
        <v>21</v>
      </c>
      <c r="F83" s="54" t="s">
        <v>24</v>
      </c>
      <c r="G83" s="54" t="s">
        <v>502</v>
      </c>
      <c r="H83" s="93" t="s">
        <v>599</v>
      </c>
      <c r="I83" s="83" t="s">
        <v>600</v>
      </c>
      <c r="J83" s="84" t="s">
        <v>601</v>
      </c>
      <c r="K83" s="101" t="s">
        <v>695</v>
      </c>
      <c r="L83" s="116">
        <v>0.9</v>
      </c>
      <c r="M83" s="101" t="str">
        <f t="shared" si="2"/>
        <v>Green</v>
      </c>
      <c r="N83" s="132" t="s">
        <v>734</v>
      </c>
      <c r="O83" s="111" t="s">
        <v>390</v>
      </c>
      <c r="P83" s="110"/>
      <c r="Q83" s="108"/>
      <c r="R83" s="102" t="s">
        <v>701</v>
      </c>
      <c r="S83" s="113">
        <v>0.85</v>
      </c>
      <c r="T83" s="113">
        <v>0.7</v>
      </c>
      <c r="U83" s="115"/>
      <c r="V83" s="115"/>
      <c r="W83" s="115"/>
      <c r="X83" s="114"/>
    </row>
    <row r="84" spans="1:24" ht="39.75" hidden="1" customHeight="1">
      <c r="A84" s="140" t="s">
        <v>265</v>
      </c>
      <c r="B84" s="140" t="s">
        <v>266</v>
      </c>
      <c r="C84" s="140" t="s">
        <v>532</v>
      </c>
      <c r="D84" s="140" t="s">
        <v>268</v>
      </c>
      <c r="E84" s="140" t="s">
        <v>21</v>
      </c>
      <c r="F84" s="140" t="s">
        <v>23</v>
      </c>
      <c r="G84" s="140" t="s">
        <v>502</v>
      </c>
      <c r="H84" s="93" t="s">
        <v>626</v>
      </c>
      <c r="I84" s="83" t="s">
        <v>627</v>
      </c>
      <c r="J84" s="84" t="s">
        <v>628</v>
      </c>
      <c r="K84" s="101" t="s">
        <v>700</v>
      </c>
      <c r="L84" s="134"/>
      <c r="M84" s="101" t="str">
        <f t="shared" si="2"/>
        <v>Not Tracked</v>
      </c>
      <c r="N84" s="130" t="s">
        <v>723</v>
      </c>
      <c r="O84" s="111" t="s">
        <v>390</v>
      </c>
      <c r="P84" s="110"/>
      <c r="Q84" s="108" t="s">
        <v>735</v>
      </c>
      <c r="R84" s="102" t="s">
        <v>697</v>
      </c>
      <c r="S84" s="102">
        <v>5</v>
      </c>
      <c r="T84" s="102">
        <v>10</v>
      </c>
      <c r="U84" s="115"/>
      <c r="V84" s="115"/>
      <c r="W84" s="115"/>
      <c r="X84" s="114"/>
    </row>
    <row r="85" spans="1:24" ht="39.75" customHeight="1">
      <c r="A85" s="54" t="s">
        <v>265</v>
      </c>
      <c r="B85" s="54" t="s">
        <v>266</v>
      </c>
      <c r="C85" s="54" t="s">
        <v>532</v>
      </c>
      <c r="D85" s="54" t="s">
        <v>629</v>
      </c>
      <c r="E85" s="54" t="s">
        <v>21</v>
      </c>
      <c r="F85" s="54" t="s">
        <v>24</v>
      </c>
      <c r="G85" s="54" t="s">
        <v>502</v>
      </c>
      <c r="H85" s="93" t="s">
        <v>599</v>
      </c>
      <c r="I85" s="83" t="s">
        <v>600</v>
      </c>
      <c r="J85" s="84" t="s">
        <v>601</v>
      </c>
      <c r="K85" s="101" t="s">
        <v>695</v>
      </c>
      <c r="L85" s="116">
        <v>0.8</v>
      </c>
      <c r="M85" s="101" t="str">
        <f t="shared" si="2"/>
        <v>Yellow</v>
      </c>
      <c r="N85" s="131" t="s">
        <v>717</v>
      </c>
      <c r="O85" s="111" t="s">
        <v>390</v>
      </c>
      <c r="P85" s="110">
        <v>46223</v>
      </c>
      <c r="Q85" s="108"/>
      <c r="R85" s="102" t="s">
        <v>701</v>
      </c>
      <c r="S85" s="113">
        <v>0.85</v>
      </c>
      <c r="T85" s="113">
        <v>0.7</v>
      </c>
      <c r="U85" s="115"/>
      <c r="V85" s="115"/>
      <c r="W85" s="115"/>
      <c r="X85" s="114"/>
    </row>
    <row r="86" spans="1:24" ht="39.75" customHeight="1">
      <c r="A86" s="54" t="s">
        <v>265</v>
      </c>
      <c r="B86" s="54" t="s">
        <v>266</v>
      </c>
      <c r="C86" s="54" t="s">
        <v>532</v>
      </c>
      <c r="D86" s="54" t="s">
        <v>630</v>
      </c>
      <c r="E86" s="54" t="s">
        <v>21</v>
      </c>
      <c r="F86" s="54" t="s">
        <v>24</v>
      </c>
      <c r="G86" s="54" t="s">
        <v>502</v>
      </c>
      <c r="H86" s="93" t="s">
        <v>599</v>
      </c>
      <c r="I86" s="83" t="s">
        <v>600</v>
      </c>
      <c r="J86" s="84" t="s">
        <v>601</v>
      </c>
      <c r="K86" s="101" t="s">
        <v>695</v>
      </c>
      <c r="L86" s="116">
        <v>0.95599999999999996</v>
      </c>
      <c r="M86" s="101" t="str">
        <f t="shared" si="2"/>
        <v>Green</v>
      </c>
      <c r="N86" s="131" t="s">
        <v>736</v>
      </c>
      <c r="O86" s="111" t="s">
        <v>390</v>
      </c>
      <c r="P86" s="110">
        <v>46223</v>
      </c>
      <c r="Q86" s="108"/>
      <c r="R86" s="102" t="s">
        <v>701</v>
      </c>
      <c r="S86" s="113">
        <v>0.85</v>
      </c>
      <c r="T86" s="113">
        <v>0.7</v>
      </c>
      <c r="U86" s="115"/>
      <c r="V86" s="115"/>
      <c r="W86" s="115"/>
      <c r="X86" s="114"/>
    </row>
    <row r="87" spans="1:24" ht="39.75" customHeight="1">
      <c r="A87" s="54" t="s">
        <v>270</v>
      </c>
      <c r="B87" s="54" t="s">
        <v>271</v>
      </c>
      <c r="C87" s="54" t="s">
        <v>532</v>
      </c>
      <c r="D87" s="54" t="s">
        <v>631</v>
      </c>
      <c r="E87" s="54" t="s">
        <v>21</v>
      </c>
      <c r="F87" s="54" t="s">
        <v>23</v>
      </c>
      <c r="G87" s="54" t="s">
        <v>497</v>
      </c>
      <c r="H87" s="93" t="s">
        <v>622</v>
      </c>
      <c r="I87" s="83" t="s">
        <v>623</v>
      </c>
      <c r="J87" s="84" t="s">
        <v>624</v>
      </c>
      <c r="K87" s="101" t="s">
        <v>695</v>
      </c>
      <c r="L87" s="101">
        <v>4.5</v>
      </c>
      <c r="M87" s="101" t="str">
        <f t="shared" si="2"/>
        <v>Green</v>
      </c>
      <c r="N87" s="131" t="s">
        <v>737</v>
      </c>
      <c r="O87" s="111" t="s">
        <v>390</v>
      </c>
      <c r="P87" s="110"/>
      <c r="Q87" s="108"/>
      <c r="R87" s="102" t="s">
        <v>697</v>
      </c>
      <c r="S87" s="102">
        <v>5</v>
      </c>
      <c r="T87" s="102">
        <v>10</v>
      </c>
      <c r="U87" s="115"/>
      <c r="V87" s="115"/>
      <c r="W87" s="115"/>
      <c r="X87" s="114"/>
    </row>
    <row r="88" spans="1:24" ht="39.75" customHeight="1">
      <c r="A88" s="54" t="s">
        <v>270</v>
      </c>
      <c r="B88" s="54" t="s">
        <v>271</v>
      </c>
      <c r="C88" s="54" t="s">
        <v>532</v>
      </c>
      <c r="D88" s="54" t="s">
        <v>632</v>
      </c>
      <c r="E88" s="54" t="s">
        <v>21</v>
      </c>
      <c r="F88" s="54" t="s">
        <v>23</v>
      </c>
      <c r="G88" s="54" t="s">
        <v>497</v>
      </c>
      <c r="H88" s="93" t="s">
        <v>633</v>
      </c>
      <c r="I88" s="83" t="s">
        <v>634</v>
      </c>
      <c r="J88" s="84" t="s">
        <v>635</v>
      </c>
      <c r="K88" s="101" t="s">
        <v>695</v>
      </c>
      <c r="L88" s="101">
        <v>29</v>
      </c>
      <c r="M88" s="101" t="str">
        <f t="shared" si="2"/>
        <v>Red</v>
      </c>
      <c r="N88" s="131" t="s">
        <v>737</v>
      </c>
      <c r="O88" s="111" t="s">
        <v>390</v>
      </c>
      <c r="P88" s="110"/>
      <c r="Q88" s="108"/>
      <c r="R88" s="102" t="s">
        <v>697</v>
      </c>
      <c r="S88" s="102">
        <v>10</v>
      </c>
      <c r="T88" s="102">
        <v>14</v>
      </c>
      <c r="U88" s="115"/>
      <c r="V88" s="115"/>
      <c r="W88" s="115"/>
      <c r="X88" s="114"/>
    </row>
    <row r="89" spans="1:24" ht="39.75" customHeight="1">
      <c r="A89" s="54" t="s">
        <v>270</v>
      </c>
      <c r="B89" s="54" t="s">
        <v>271</v>
      </c>
      <c r="C89" s="54" t="s">
        <v>532</v>
      </c>
      <c r="D89" s="54" t="s">
        <v>636</v>
      </c>
      <c r="E89" s="54" t="s">
        <v>21</v>
      </c>
      <c r="F89" s="54" t="s">
        <v>24</v>
      </c>
      <c r="G89" s="54" t="s">
        <v>502</v>
      </c>
      <c r="H89" s="93" t="s">
        <v>599</v>
      </c>
      <c r="I89" s="83" t="s">
        <v>600</v>
      </c>
      <c r="J89" s="84" t="s">
        <v>601</v>
      </c>
      <c r="K89" s="101" t="s">
        <v>695</v>
      </c>
      <c r="L89" s="116">
        <v>0.96299999999999997</v>
      </c>
      <c r="M89" s="101" t="str">
        <f t="shared" si="2"/>
        <v>Green</v>
      </c>
      <c r="N89" s="131" t="s">
        <v>716</v>
      </c>
      <c r="O89" s="111" t="s">
        <v>390</v>
      </c>
      <c r="P89" s="110"/>
      <c r="Q89" s="108"/>
      <c r="R89" s="102" t="s">
        <v>701</v>
      </c>
      <c r="S89" s="113">
        <v>0.85</v>
      </c>
      <c r="T89" s="113">
        <v>0.7</v>
      </c>
      <c r="U89" s="115"/>
      <c r="V89" s="115"/>
      <c r="W89" s="115"/>
      <c r="X89" s="114"/>
    </row>
    <row r="90" spans="1:24" ht="39.75" hidden="1" customHeight="1">
      <c r="A90" s="54" t="s">
        <v>270</v>
      </c>
      <c r="B90" s="54" t="s">
        <v>271</v>
      </c>
      <c r="C90" s="54" t="s">
        <v>532</v>
      </c>
      <c r="D90" s="54" t="s">
        <v>637</v>
      </c>
      <c r="E90" s="54" t="s">
        <v>21</v>
      </c>
      <c r="F90" s="54" t="s">
        <v>24</v>
      </c>
      <c r="G90" s="54" t="s">
        <v>499</v>
      </c>
      <c r="H90" s="93" t="s">
        <v>524</v>
      </c>
      <c r="I90" s="83" t="s">
        <v>524</v>
      </c>
      <c r="J90" s="84" t="s">
        <v>524</v>
      </c>
      <c r="K90" s="101" t="s">
        <v>700</v>
      </c>
      <c r="M90" s="101" t="str">
        <f t="shared" si="2"/>
        <v>Not Tracked</v>
      </c>
      <c r="O90" s="111" t="s">
        <v>390</v>
      </c>
      <c r="P90" s="110"/>
      <c r="Q90" s="108"/>
      <c r="R90" s="102" t="s">
        <v>699</v>
      </c>
      <c r="S90" s="102"/>
      <c r="T90" s="102"/>
      <c r="U90" s="115"/>
      <c r="V90" s="115"/>
      <c r="W90" s="115"/>
      <c r="X90" s="114"/>
    </row>
    <row r="91" spans="1:24" ht="39.75" customHeight="1">
      <c r="A91" s="54" t="s">
        <v>270</v>
      </c>
      <c r="B91" s="54" t="s">
        <v>271</v>
      </c>
      <c r="C91" s="54" t="s">
        <v>532</v>
      </c>
      <c r="D91" s="54" t="s">
        <v>638</v>
      </c>
      <c r="E91" s="54" t="s">
        <v>21</v>
      </c>
      <c r="F91" s="54" t="s">
        <v>24</v>
      </c>
      <c r="G91" s="54" t="s">
        <v>502</v>
      </c>
      <c r="H91" s="93" t="s">
        <v>599</v>
      </c>
      <c r="I91" s="83" t="s">
        <v>600</v>
      </c>
      <c r="J91" s="84" t="s">
        <v>601</v>
      </c>
      <c r="K91" s="101" t="s">
        <v>695</v>
      </c>
      <c r="L91" s="116">
        <v>0.88460000000000005</v>
      </c>
      <c r="M91" s="101" t="str">
        <f t="shared" si="2"/>
        <v>Green</v>
      </c>
      <c r="N91" s="131" t="s">
        <v>716</v>
      </c>
      <c r="O91" s="111" t="s">
        <v>390</v>
      </c>
      <c r="P91" s="110"/>
      <c r="Q91" s="108"/>
      <c r="R91" s="102" t="s">
        <v>701</v>
      </c>
      <c r="S91" s="113">
        <v>0.85</v>
      </c>
      <c r="T91" s="113">
        <v>0.7</v>
      </c>
      <c r="U91" s="115"/>
      <c r="V91" s="115"/>
      <c r="W91" s="115"/>
      <c r="X91" s="114"/>
    </row>
    <row r="92" spans="1:24" ht="39.75" hidden="1" customHeight="1">
      <c r="A92" s="54" t="s">
        <v>270</v>
      </c>
      <c r="B92" s="54" t="s">
        <v>271</v>
      </c>
      <c r="C92" s="54" t="s">
        <v>532</v>
      </c>
      <c r="D92" s="54" t="s">
        <v>639</v>
      </c>
      <c r="E92" s="54" t="s">
        <v>21</v>
      </c>
      <c r="F92" s="54" t="s">
        <v>24</v>
      </c>
      <c r="G92" s="54" t="s">
        <v>499</v>
      </c>
      <c r="H92" s="93" t="s">
        <v>524</v>
      </c>
      <c r="I92" s="83" t="s">
        <v>524</v>
      </c>
      <c r="J92" s="84" t="s">
        <v>524</v>
      </c>
      <c r="K92" s="101" t="s">
        <v>700</v>
      </c>
      <c r="M92" s="101" t="str">
        <f t="shared" si="2"/>
        <v>Not Tracked</v>
      </c>
      <c r="O92" s="111" t="s">
        <v>390</v>
      </c>
      <c r="P92" s="110"/>
      <c r="Q92" s="108"/>
      <c r="R92" s="102" t="s">
        <v>699</v>
      </c>
      <c r="S92" s="102"/>
      <c r="T92" s="102"/>
      <c r="U92" s="115"/>
      <c r="V92" s="115"/>
      <c r="W92" s="115"/>
      <c r="X92" s="114"/>
    </row>
    <row r="93" spans="1:24" ht="39.75" hidden="1" customHeight="1">
      <c r="A93" s="140" t="s">
        <v>276</v>
      </c>
      <c r="B93" s="140" t="s">
        <v>277</v>
      </c>
      <c r="C93" s="140" t="s">
        <v>532</v>
      </c>
      <c r="D93" s="140" t="s">
        <v>279</v>
      </c>
      <c r="E93" s="140" t="s">
        <v>21</v>
      </c>
      <c r="F93" s="140" t="s">
        <v>23</v>
      </c>
      <c r="G93" s="140" t="s">
        <v>502</v>
      </c>
      <c r="H93" s="93" t="s">
        <v>640</v>
      </c>
      <c r="I93" s="83" t="s">
        <v>641</v>
      </c>
      <c r="J93" s="84" t="s">
        <v>642</v>
      </c>
      <c r="K93" s="101" t="s">
        <v>700</v>
      </c>
      <c r="M93" s="101" t="str">
        <f t="shared" si="2"/>
        <v>Not Tracked</v>
      </c>
      <c r="N93" s="131" t="s">
        <v>738</v>
      </c>
      <c r="O93" s="111" t="s">
        <v>390</v>
      </c>
      <c r="P93" s="110"/>
      <c r="Q93" s="108"/>
      <c r="R93" s="102" t="s">
        <v>701</v>
      </c>
      <c r="S93" s="102">
        <v>24</v>
      </c>
      <c r="T93" s="102">
        <v>3</v>
      </c>
      <c r="U93" s="115"/>
      <c r="V93" s="115"/>
      <c r="W93" s="115"/>
      <c r="X93" s="114"/>
    </row>
    <row r="94" spans="1:24" ht="39.75" customHeight="1">
      <c r="A94" s="54" t="s">
        <v>276</v>
      </c>
      <c r="B94" s="54" t="s">
        <v>277</v>
      </c>
      <c r="C94" s="54" t="s">
        <v>532</v>
      </c>
      <c r="D94" s="54" t="s">
        <v>643</v>
      </c>
      <c r="E94" s="54" t="s">
        <v>21</v>
      </c>
      <c r="F94" s="54" t="s">
        <v>24</v>
      </c>
      <c r="G94" s="54" t="s">
        <v>502</v>
      </c>
      <c r="H94" s="93" t="s">
        <v>599</v>
      </c>
      <c r="I94" s="83" t="s">
        <v>600</v>
      </c>
      <c r="J94" s="84" t="s">
        <v>601</v>
      </c>
      <c r="K94" s="101" t="s">
        <v>695</v>
      </c>
      <c r="L94" s="116">
        <v>0.9526</v>
      </c>
      <c r="M94" s="101" t="str">
        <f t="shared" si="2"/>
        <v>Green</v>
      </c>
      <c r="N94" s="131" t="s">
        <v>739</v>
      </c>
      <c r="O94" s="111" t="s">
        <v>390</v>
      </c>
      <c r="P94" s="110">
        <v>46223</v>
      </c>
      <c r="Q94" s="108"/>
      <c r="R94" s="102" t="s">
        <v>701</v>
      </c>
      <c r="S94" s="113">
        <v>0.85</v>
      </c>
      <c r="T94" s="113">
        <v>0.7</v>
      </c>
      <c r="U94" s="115"/>
      <c r="V94" s="115"/>
      <c r="W94" s="115"/>
      <c r="X94" s="114"/>
    </row>
    <row r="95" spans="1:24" ht="39.75" customHeight="1">
      <c r="A95" s="54" t="s">
        <v>276</v>
      </c>
      <c r="B95" s="54" t="s">
        <v>277</v>
      </c>
      <c r="C95" s="54" t="s">
        <v>532</v>
      </c>
      <c r="D95" s="54" t="s">
        <v>644</v>
      </c>
      <c r="E95" s="54" t="s">
        <v>21</v>
      </c>
      <c r="F95" s="54" t="s">
        <v>24</v>
      </c>
      <c r="G95" s="54" t="s">
        <v>502</v>
      </c>
      <c r="H95" s="93" t="s">
        <v>599</v>
      </c>
      <c r="I95" s="83" t="s">
        <v>600</v>
      </c>
      <c r="J95" s="84" t="s">
        <v>601</v>
      </c>
      <c r="K95" s="101" t="s">
        <v>695</v>
      </c>
      <c r="L95" s="116">
        <v>0.93300000000000005</v>
      </c>
      <c r="M95" s="101" t="str">
        <f t="shared" si="2"/>
        <v>Green</v>
      </c>
      <c r="N95" s="131" t="s">
        <v>717</v>
      </c>
      <c r="O95" s="111" t="s">
        <v>390</v>
      </c>
      <c r="P95" s="110">
        <v>46223</v>
      </c>
      <c r="Q95" s="108"/>
      <c r="R95" s="102" t="s">
        <v>701</v>
      </c>
      <c r="S95" s="113">
        <v>0.85</v>
      </c>
      <c r="T95" s="113">
        <v>0.7</v>
      </c>
      <c r="U95" s="115"/>
      <c r="V95" s="115"/>
      <c r="W95" s="115"/>
      <c r="X95" s="114"/>
    </row>
    <row r="96" spans="1:24" ht="39.75" hidden="1" customHeight="1">
      <c r="A96" s="54" t="s">
        <v>97</v>
      </c>
      <c r="B96" s="54" t="str">
        <f>_xlfn.XLOOKUP(A96,'Digital Ops'!$A$3:$A$12,'Digital Ops'!$B$3:$B$12)</f>
        <v xml:space="preserve">Director of Digital Operations </v>
      </c>
      <c r="C96" s="54" t="s">
        <v>645</v>
      </c>
      <c r="D96" s="54" t="s">
        <v>100</v>
      </c>
      <c r="E96" s="54" t="s">
        <v>21</v>
      </c>
      <c r="F96" s="54" t="s">
        <v>24</v>
      </c>
      <c r="G96" s="54" t="s">
        <v>497</v>
      </c>
      <c r="H96" s="93" t="s">
        <v>599</v>
      </c>
      <c r="I96" s="83" t="s">
        <v>646</v>
      </c>
      <c r="J96" s="84" t="s">
        <v>594</v>
      </c>
      <c r="K96" s="101" t="s">
        <v>700</v>
      </c>
      <c r="L96" s="116"/>
      <c r="M96" s="101" t="str">
        <f t="shared" si="2"/>
        <v>Not Tracked</v>
      </c>
      <c r="O96" s="111" t="s">
        <v>390</v>
      </c>
      <c r="P96" s="110"/>
      <c r="Q96" s="108"/>
      <c r="R96" s="102" t="s">
        <v>701</v>
      </c>
      <c r="S96" s="113">
        <v>0.85</v>
      </c>
      <c r="T96" s="113">
        <v>0.75</v>
      </c>
      <c r="U96" s="115"/>
      <c r="V96" s="115"/>
      <c r="W96" s="115"/>
      <c r="X96" s="114"/>
    </row>
    <row r="97" spans="1:24" ht="39.75" hidden="1" customHeight="1">
      <c r="A97" s="54" t="s">
        <v>97</v>
      </c>
      <c r="B97" s="54" t="str">
        <f>_xlfn.XLOOKUP(A97,'Digital Ops'!$A$3:$A$12,'Digital Ops'!$B$3:$B$12)</f>
        <v xml:space="preserve">Director of Digital Operations </v>
      </c>
      <c r="C97" s="54" t="s">
        <v>645</v>
      </c>
      <c r="D97" s="54" t="s">
        <v>647</v>
      </c>
      <c r="E97" s="54" t="s">
        <v>21</v>
      </c>
      <c r="F97" s="54" t="s">
        <v>25</v>
      </c>
      <c r="G97" s="54" t="s">
        <v>497</v>
      </c>
      <c r="H97" s="93" t="s">
        <v>503</v>
      </c>
      <c r="I97" s="83" t="s">
        <v>503</v>
      </c>
      <c r="J97" s="84" t="s">
        <v>503</v>
      </c>
      <c r="K97" s="101" t="s">
        <v>700</v>
      </c>
      <c r="M97" s="101" t="str">
        <f t="shared" si="2"/>
        <v>Not Tracked</v>
      </c>
      <c r="O97" s="111" t="s">
        <v>390</v>
      </c>
      <c r="P97" s="110"/>
      <c r="Q97" s="108"/>
      <c r="R97" s="102" t="s">
        <v>699</v>
      </c>
      <c r="S97" s="102"/>
      <c r="T97" s="102"/>
      <c r="U97" s="115"/>
      <c r="V97" s="115"/>
      <c r="W97" s="115"/>
      <c r="X97" s="114"/>
    </row>
    <row r="98" spans="1:24" ht="39.75" hidden="1" customHeight="1">
      <c r="A98" s="54" t="s">
        <v>97</v>
      </c>
      <c r="B98" s="54" t="str">
        <f>_xlfn.XLOOKUP(A98,'Digital Ops'!$A$3:$A$12,'Digital Ops'!$B$3:$B$12)</f>
        <v xml:space="preserve">Director of Digital Operations </v>
      </c>
      <c r="C98" s="54" t="s">
        <v>645</v>
      </c>
      <c r="D98" s="54" t="s">
        <v>648</v>
      </c>
      <c r="E98" s="54" t="s">
        <v>21</v>
      </c>
      <c r="F98" s="54" t="s">
        <v>25</v>
      </c>
      <c r="G98" s="54" t="s">
        <v>497</v>
      </c>
      <c r="H98" s="93" t="s">
        <v>503</v>
      </c>
      <c r="I98" s="83" t="s">
        <v>503</v>
      </c>
      <c r="J98" s="84" t="s">
        <v>503</v>
      </c>
      <c r="K98" s="101" t="s">
        <v>700</v>
      </c>
      <c r="M98" s="101" t="str">
        <f t="shared" si="2"/>
        <v>Not Tracked</v>
      </c>
      <c r="O98" s="111" t="s">
        <v>390</v>
      </c>
      <c r="P98" s="110"/>
      <c r="Q98" s="108"/>
      <c r="R98" s="102" t="s">
        <v>699</v>
      </c>
      <c r="S98" s="102"/>
      <c r="T98" s="102"/>
      <c r="U98" s="115"/>
      <c r="V98" s="115"/>
      <c r="W98" s="115"/>
      <c r="X98" s="114"/>
    </row>
    <row r="99" spans="1:24" ht="39.75" customHeight="1">
      <c r="A99" s="54" t="s">
        <v>97</v>
      </c>
      <c r="B99" s="54" t="str">
        <f>_xlfn.XLOOKUP(A99,'Digital Ops'!$A$3:$A$12,'Digital Ops'!$B$3:$B$12)</f>
        <v xml:space="preserve">Director of Digital Operations </v>
      </c>
      <c r="C99" s="54" t="s">
        <v>645</v>
      </c>
      <c r="D99" s="54" t="s">
        <v>102</v>
      </c>
      <c r="E99" s="54" t="s">
        <v>53</v>
      </c>
      <c r="F99" s="54" t="s">
        <v>26</v>
      </c>
      <c r="G99" s="54" t="s">
        <v>502</v>
      </c>
      <c r="H99" s="93" t="s">
        <v>649</v>
      </c>
      <c r="I99" s="83" t="s">
        <v>650</v>
      </c>
      <c r="J99" s="84" t="s">
        <v>651</v>
      </c>
      <c r="K99" s="101" t="s">
        <v>695</v>
      </c>
      <c r="L99" s="116">
        <v>0.70399999999999996</v>
      </c>
      <c r="M99" s="101" t="str">
        <f t="shared" si="2"/>
        <v>Yellow</v>
      </c>
      <c r="N99" s="135" t="s">
        <v>740</v>
      </c>
      <c r="O99" s="111" t="s">
        <v>709</v>
      </c>
      <c r="P99" s="110"/>
      <c r="Q99" s="108"/>
      <c r="R99" s="102" t="s">
        <v>701</v>
      </c>
      <c r="S99" s="113">
        <v>0.8</v>
      </c>
      <c r="T99" s="113">
        <v>0.65</v>
      </c>
      <c r="U99" s="115"/>
      <c r="V99" s="115"/>
      <c r="W99" s="115"/>
      <c r="X99" s="114"/>
    </row>
    <row r="100" spans="1:24" ht="39.75" customHeight="1">
      <c r="A100" s="54" t="s">
        <v>97</v>
      </c>
      <c r="B100" s="54" t="str">
        <f>_xlfn.XLOOKUP(A100,'Digital Ops'!$A$3:$A$12,'Digital Ops'!$B$3:$B$12)</f>
        <v xml:space="preserve">Director of Digital Operations </v>
      </c>
      <c r="C100" s="54" t="s">
        <v>645</v>
      </c>
      <c r="D100" s="54" t="s">
        <v>103</v>
      </c>
      <c r="E100" s="54" t="s">
        <v>53</v>
      </c>
      <c r="F100" s="54" t="s">
        <v>27</v>
      </c>
      <c r="G100" s="54" t="s">
        <v>502</v>
      </c>
      <c r="H100" s="93" t="s">
        <v>649</v>
      </c>
      <c r="I100" s="83" t="s">
        <v>650</v>
      </c>
      <c r="J100" s="84" t="s">
        <v>651</v>
      </c>
      <c r="K100" s="101" t="s">
        <v>695</v>
      </c>
      <c r="L100" s="116">
        <v>0.82609999999999995</v>
      </c>
      <c r="M100" s="101" t="str">
        <f t="shared" si="2"/>
        <v>Green</v>
      </c>
      <c r="N100" s="135" t="s">
        <v>741</v>
      </c>
      <c r="O100" s="111" t="s">
        <v>709</v>
      </c>
      <c r="P100" s="110"/>
      <c r="Q100" s="108"/>
      <c r="R100" s="102" t="s">
        <v>701</v>
      </c>
      <c r="S100" s="113">
        <v>0.8</v>
      </c>
      <c r="T100" s="113">
        <v>0.65</v>
      </c>
      <c r="U100" s="115"/>
      <c r="V100" s="115"/>
      <c r="W100" s="115"/>
      <c r="X100" s="114"/>
    </row>
    <row r="101" spans="1:24" ht="39.75" customHeight="1">
      <c r="A101" s="54" t="s">
        <v>97</v>
      </c>
      <c r="B101" s="54" t="str">
        <f>_xlfn.XLOOKUP(A101,'Digital Ops'!$A$3:$A$12,'Digital Ops'!$B$3:$B$12)</f>
        <v xml:space="preserve">Director of Digital Operations </v>
      </c>
      <c r="C101" s="54" t="s">
        <v>645</v>
      </c>
      <c r="D101" s="54" t="s">
        <v>742</v>
      </c>
      <c r="E101" s="54" t="s">
        <v>53</v>
      </c>
      <c r="F101" s="54" t="s">
        <v>28</v>
      </c>
      <c r="G101" s="54" t="s">
        <v>502</v>
      </c>
      <c r="H101" s="93" t="s">
        <v>649</v>
      </c>
      <c r="I101" s="83" t="s">
        <v>650</v>
      </c>
      <c r="J101" s="84" t="s">
        <v>651</v>
      </c>
      <c r="K101" s="101" t="s">
        <v>695</v>
      </c>
      <c r="L101" s="116">
        <v>0.65159999999999996</v>
      </c>
      <c r="M101" s="101" t="str">
        <f t="shared" si="2"/>
        <v>Yellow</v>
      </c>
      <c r="N101" s="135" t="s">
        <v>743</v>
      </c>
      <c r="O101" s="111" t="s">
        <v>709</v>
      </c>
      <c r="P101" s="110"/>
      <c r="Q101" s="108"/>
      <c r="R101" s="102" t="s">
        <v>701</v>
      </c>
      <c r="S101" s="113">
        <v>0.8</v>
      </c>
      <c r="T101" s="113">
        <v>0.65</v>
      </c>
      <c r="U101" s="115"/>
      <c r="V101" s="115"/>
      <c r="W101" s="115"/>
      <c r="X101" s="114"/>
    </row>
    <row r="102" spans="1:24" ht="39.75" customHeight="1">
      <c r="A102" s="54" t="s">
        <v>97</v>
      </c>
      <c r="B102" s="54" t="str">
        <f>_xlfn.XLOOKUP(A102,'Digital Ops'!$A$3:$A$12,'Digital Ops'!$B$3:$B$12)</f>
        <v xml:space="preserve">Director of Digital Operations </v>
      </c>
      <c r="C102" s="54" t="s">
        <v>645</v>
      </c>
      <c r="D102" s="54" t="s">
        <v>744</v>
      </c>
      <c r="E102" s="54" t="s">
        <v>53</v>
      </c>
      <c r="F102" s="54" t="s">
        <v>28</v>
      </c>
      <c r="G102" s="54" t="s">
        <v>502</v>
      </c>
      <c r="H102" s="93" t="s">
        <v>745</v>
      </c>
      <c r="I102" s="83" t="s">
        <v>746</v>
      </c>
      <c r="J102" s="84" t="s">
        <v>659</v>
      </c>
      <c r="K102" s="101" t="s">
        <v>695</v>
      </c>
      <c r="L102" s="116">
        <v>0.31</v>
      </c>
      <c r="M102" s="101" t="str">
        <f t="shared" si="2"/>
        <v>Yellow</v>
      </c>
      <c r="N102" s="135" t="s">
        <v>747</v>
      </c>
      <c r="O102" s="111" t="s">
        <v>709</v>
      </c>
      <c r="P102" s="110"/>
      <c r="Q102" s="108"/>
      <c r="R102" s="102" t="s">
        <v>701</v>
      </c>
      <c r="S102" s="113">
        <v>0.4</v>
      </c>
      <c r="T102" s="113">
        <v>0.3</v>
      </c>
      <c r="U102" s="115"/>
      <c r="V102" s="115"/>
      <c r="W102" s="115"/>
      <c r="X102" s="114"/>
    </row>
    <row r="103" spans="1:24" ht="39.75" customHeight="1">
      <c r="A103" s="54" t="s">
        <v>97</v>
      </c>
      <c r="B103" s="54" t="str">
        <f>_xlfn.XLOOKUP(A103,'Digital Ops'!$A$3:$A$12,'Digital Ops'!$B$3:$B$12)</f>
        <v xml:space="preserve">Director of Digital Operations </v>
      </c>
      <c r="C103" s="54" t="s">
        <v>645</v>
      </c>
      <c r="D103" s="54" t="s">
        <v>748</v>
      </c>
      <c r="E103" s="54" t="s">
        <v>53</v>
      </c>
      <c r="F103" s="54" t="s">
        <v>28</v>
      </c>
      <c r="G103" s="54" t="s">
        <v>502</v>
      </c>
      <c r="H103" s="93" t="s">
        <v>657</v>
      </c>
      <c r="I103" s="83" t="s">
        <v>658</v>
      </c>
      <c r="J103" s="84" t="s">
        <v>659</v>
      </c>
      <c r="K103" s="101" t="s">
        <v>695</v>
      </c>
      <c r="L103" s="116">
        <v>0.32700000000000001</v>
      </c>
      <c r="M103" s="101" t="str">
        <f>IF(K103="Not Tracking","Not Tracked",IF(L103="","No Data",IF(R103="Higher is Better",IF(L103&gt;=S103,"Green",IF(L103&gt;=T103,"Yellow","Red")),IF(R103="Lower is Better",IF(L103&lt;=S103,"Green",IF(L103&lt;=T103,"Yellow","Red")),"Manual Review"))))</f>
        <v>Yellow</v>
      </c>
      <c r="N103" s="135" t="s">
        <v>747</v>
      </c>
      <c r="O103" s="111" t="s">
        <v>702</v>
      </c>
      <c r="P103" s="110"/>
      <c r="Q103" s="108"/>
      <c r="R103" s="102" t="s">
        <v>701</v>
      </c>
      <c r="S103" s="113">
        <v>0.4</v>
      </c>
      <c r="T103" s="113">
        <v>0.3</v>
      </c>
      <c r="U103" s="115"/>
      <c r="V103" s="115"/>
      <c r="W103" s="115"/>
      <c r="X103" s="114"/>
    </row>
    <row r="104" spans="1:24" ht="39.75" hidden="1" customHeight="1">
      <c r="A104" s="119" t="s">
        <v>105</v>
      </c>
      <c r="B104" s="119" t="str">
        <f>_xlfn.XLOOKUP(A104,'Digital Ops'!$A$3:$A$12,'Digital Ops'!$B$3:$B$12)</f>
        <v>Senior Manager of Digital Ops</v>
      </c>
      <c r="C104" s="119" t="s">
        <v>645</v>
      </c>
      <c r="D104" s="119" t="s">
        <v>109</v>
      </c>
      <c r="E104" s="119" t="s">
        <v>21</v>
      </c>
      <c r="F104" s="119" t="s">
        <v>23</v>
      </c>
      <c r="G104" s="119"/>
      <c r="K104" s="101" t="s">
        <v>700</v>
      </c>
      <c r="M104" s="101" t="str">
        <f t="shared" si="2"/>
        <v>Not Tracked</v>
      </c>
      <c r="O104" s="111" t="s">
        <v>390</v>
      </c>
      <c r="P104" s="110"/>
      <c r="Q104" s="108"/>
      <c r="R104" s="102" t="s">
        <v>699</v>
      </c>
      <c r="S104" s="102"/>
      <c r="T104" s="102"/>
      <c r="U104" s="115"/>
      <c r="V104" s="115"/>
      <c r="W104" s="115"/>
      <c r="X104" s="114"/>
    </row>
    <row r="105" spans="1:24" ht="39.75" customHeight="1">
      <c r="A105" s="54" t="s">
        <v>105</v>
      </c>
      <c r="B105" s="54" t="str">
        <f>_xlfn.XLOOKUP(A105,'Digital Ops'!$A$3:$A$12,'Digital Ops'!$B$3:$B$12)</f>
        <v>Senior Manager of Digital Ops</v>
      </c>
      <c r="C105" s="54" t="s">
        <v>645</v>
      </c>
      <c r="D105" s="54" t="s">
        <v>110</v>
      </c>
      <c r="E105" s="54" t="s">
        <v>21</v>
      </c>
      <c r="F105" s="54" t="s">
        <v>24</v>
      </c>
      <c r="G105" s="54" t="s">
        <v>502</v>
      </c>
      <c r="H105" s="93" t="s">
        <v>599</v>
      </c>
      <c r="I105" s="83" t="s">
        <v>646</v>
      </c>
      <c r="J105" s="84" t="s">
        <v>594</v>
      </c>
      <c r="K105" s="101" t="s">
        <v>695</v>
      </c>
      <c r="L105" s="116">
        <v>0.9</v>
      </c>
      <c r="M105" s="101" t="str">
        <f t="shared" si="2"/>
        <v>Green</v>
      </c>
      <c r="N105" s="132" t="s">
        <v>749</v>
      </c>
      <c r="O105" s="111" t="s">
        <v>390</v>
      </c>
      <c r="P105" s="110"/>
      <c r="Q105" s="108"/>
      <c r="R105" s="102" t="s">
        <v>701</v>
      </c>
      <c r="S105" s="113">
        <v>0.85</v>
      </c>
      <c r="T105" s="113">
        <v>0.75</v>
      </c>
      <c r="U105" s="115"/>
      <c r="V105" s="115"/>
      <c r="W105" s="115"/>
      <c r="X105" s="114"/>
    </row>
    <row r="106" spans="1:24" ht="39.75" customHeight="1">
      <c r="A106" s="54" t="s">
        <v>105</v>
      </c>
      <c r="B106" s="54" t="str">
        <f>_xlfn.XLOOKUP(A106,'Digital Ops'!$A$3:$A$12,'Digital Ops'!$B$3:$B$12)</f>
        <v>Senior Manager of Digital Ops</v>
      </c>
      <c r="C106" s="54" t="s">
        <v>645</v>
      </c>
      <c r="D106" s="54" t="s">
        <v>111</v>
      </c>
      <c r="E106" s="54" t="s">
        <v>53</v>
      </c>
      <c r="F106" s="54" t="s">
        <v>26</v>
      </c>
      <c r="G106" s="54" t="s">
        <v>502</v>
      </c>
      <c r="H106" s="93" t="s">
        <v>660</v>
      </c>
      <c r="I106" s="83" t="s">
        <v>661</v>
      </c>
      <c r="J106" s="84" t="s">
        <v>662</v>
      </c>
      <c r="K106" s="101" t="s">
        <v>695</v>
      </c>
      <c r="L106" s="116">
        <v>0.93</v>
      </c>
      <c r="M106" s="101" t="str">
        <f t="shared" si="2"/>
        <v>Green</v>
      </c>
      <c r="N106" s="132" t="s">
        <v>749</v>
      </c>
      <c r="O106" s="111" t="s">
        <v>709</v>
      </c>
      <c r="P106" s="110"/>
      <c r="Q106" s="108"/>
      <c r="R106" s="102" t="s">
        <v>701</v>
      </c>
      <c r="S106" s="113">
        <v>0.75</v>
      </c>
      <c r="T106" s="113">
        <v>0.5</v>
      </c>
      <c r="U106" s="115"/>
      <c r="V106" s="115"/>
      <c r="W106" s="115"/>
      <c r="X106" s="114"/>
    </row>
    <row r="107" spans="1:24" ht="39.75" customHeight="1">
      <c r="A107" s="54" t="s">
        <v>105</v>
      </c>
      <c r="B107" s="54" t="str">
        <f>_xlfn.XLOOKUP(A107,'Digital Ops'!$A$3:$A$12,'Digital Ops'!$B$3:$B$12)</f>
        <v>Senior Manager of Digital Ops</v>
      </c>
      <c r="C107" s="54" t="s">
        <v>645</v>
      </c>
      <c r="D107" s="54" t="s">
        <v>112</v>
      </c>
      <c r="E107" s="54" t="s">
        <v>53</v>
      </c>
      <c r="F107" s="54" t="s">
        <v>27</v>
      </c>
      <c r="G107" s="54" t="s">
        <v>502</v>
      </c>
      <c r="H107" s="93" t="s">
        <v>599</v>
      </c>
      <c r="I107" s="83" t="s">
        <v>646</v>
      </c>
      <c r="J107" s="84" t="s">
        <v>594</v>
      </c>
      <c r="K107" s="101" t="s">
        <v>695</v>
      </c>
      <c r="L107" s="116">
        <v>0.87</v>
      </c>
      <c r="M107" s="101" t="str">
        <f t="shared" si="2"/>
        <v>Green</v>
      </c>
      <c r="N107" s="132" t="s">
        <v>749</v>
      </c>
      <c r="O107" s="111" t="s">
        <v>390</v>
      </c>
      <c r="P107" s="110"/>
      <c r="Q107" s="108"/>
      <c r="R107" s="102" t="s">
        <v>701</v>
      </c>
      <c r="S107" s="113">
        <v>0.85</v>
      </c>
      <c r="T107" s="113">
        <v>0.75</v>
      </c>
      <c r="U107" s="115"/>
      <c r="V107" s="115"/>
      <c r="W107" s="115"/>
      <c r="X107" s="114"/>
    </row>
    <row r="108" spans="1:24" ht="39.75" hidden="1" customHeight="1">
      <c r="A108" s="54" t="s">
        <v>105</v>
      </c>
      <c r="B108" s="54" t="str">
        <f>_xlfn.XLOOKUP(A108,'Digital Ops'!$A$3:$A$12,'Digital Ops'!$B$3:$B$12)</f>
        <v>Senior Manager of Digital Ops</v>
      </c>
      <c r="C108" s="54" t="s">
        <v>645</v>
      </c>
      <c r="D108" s="54" t="s">
        <v>113</v>
      </c>
      <c r="E108" s="54" t="s">
        <v>53</v>
      </c>
      <c r="F108" s="54" t="s">
        <v>28</v>
      </c>
      <c r="G108" s="54" t="s">
        <v>497</v>
      </c>
      <c r="H108" s="93" t="s">
        <v>663</v>
      </c>
      <c r="I108" s="83" t="s">
        <v>664</v>
      </c>
      <c r="J108" s="138">
        <v>0.01</v>
      </c>
      <c r="K108" s="101" t="s">
        <v>700</v>
      </c>
      <c r="M108" s="101" t="str">
        <f t="shared" si="2"/>
        <v>Not Tracked</v>
      </c>
      <c r="O108" s="111"/>
      <c r="P108" s="110"/>
      <c r="Q108" s="108"/>
      <c r="R108" s="102" t="s">
        <v>701</v>
      </c>
      <c r="S108" s="102">
        <v>4</v>
      </c>
      <c r="T108" s="102">
        <v>1</v>
      </c>
      <c r="U108" s="115"/>
      <c r="V108" s="115"/>
      <c r="W108" s="115"/>
      <c r="X108" s="114"/>
    </row>
    <row r="109" spans="1:24" ht="39.75" hidden="1" customHeight="1">
      <c r="A109" s="119" t="s">
        <v>114</v>
      </c>
      <c r="B109" s="119" t="str">
        <f>_xlfn.XLOOKUP(A109,'Digital Ops'!$A$3:$A$12,'Digital Ops'!$B$3:$B$12)</f>
        <v>Operational Research &amp; Reporting Manager</v>
      </c>
      <c r="C109" s="119" t="s">
        <v>645</v>
      </c>
      <c r="D109" s="119" t="s">
        <v>117</v>
      </c>
      <c r="E109" s="119" t="s">
        <v>21</v>
      </c>
      <c r="F109" s="119" t="s">
        <v>23</v>
      </c>
      <c r="G109" s="119"/>
      <c r="K109" s="101" t="s">
        <v>700</v>
      </c>
      <c r="M109" s="101" t="str">
        <f t="shared" si="2"/>
        <v>Not Tracked</v>
      </c>
      <c r="O109" s="111"/>
      <c r="P109" s="110"/>
      <c r="Q109" s="108"/>
      <c r="R109" s="102" t="s">
        <v>699</v>
      </c>
      <c r="S109" s="102"/>
      <c r="T109" s="102"/>
      <c r="U109" s="115"/>
      <c r="V109" s="115"/>
      <c r="W109" s="115"/>
      <c r="X109" s="114"/>
    </row>
    <row r="110" spans="1:24" ht="39.75" hidden="1" customHeight="1">
      <c r="A110" s="54" t="s">
        <v>114</v>
      </c>
      <c r="B110" s="54" t="str">
        <f>_xlfn.XLOOKUP(A110,'Digital Ops'!$A$3:$A$12,'Digital Ops'!$B$3:$B$12)</f>
        <v>Operational Research &amp; Reporting Manager</v>
      </c>
      <c r="C110" s="54" t="s">
        <v>645</v>
      </c>
      <c r="D110" s="54" t="s">
        <v>118</v>
      </c>
      <c r="E110" s="54" t="s">
        <v>21</v>
      </c>
      <c r="F110" s="54" t="s">
        <v>24</v>
      </c>
      <c r="G110" s="54" t="s">
        <v>497</v>
      </c>
      <c r="H110" s="93" t="s">
        <v>599</v>
      </c>
      <c r="I110" s="83" t="s">
        <v>646</v>
      </c>
      <c r="J110" s="84" t="s">
        <v>594</v>
      </c>
      <c r="K110" s="101" t="s">
        <v>700</v>
      </c>
      <c r="L110" s="116"/>
      <c r="M110" s="101" t="str">
        <f t="shared" si="2"/>
        <v>Not Tracked</v>
      </c>
      <c r="O110" s="111"/>
      <c r="P110" s="110"/>
      <c r="Q110" s="108"/>
      <c r="R110" s="102" t="s">
        <v>701</v>
      </c>
      <c r="S110" s="113">
        <v>0.85</v>
      </c>
      <c r="T110" s="113">
        <v>0.75</v>
      </c>
      <c r="U110" s="115"/>
      <c r="V110" s="115"/>
      <c r="W110" s="115"/>
      <c r="X110" s="114"/>
    </row>
    <row r="111" spans="1:24" ht="39.75" hidden="1" customHeight="1">
      <c r="A111" s="54" t="s">
        <v>114</v>
      </c>
      <c r="B111" s="54" t="str">
        <f>_xlfn.XLOOKUP(A111,'Digital Ops'!$A$3:$A$12,'Digital Ops'!$B$3:$B$12)</f>
        <v>Operational Research &amp; Reporting Manager</v>
      </c>
      <c r="C111" s="54" t="s">
        <v>645</v>
      </c>
      <c r="D111" s="54" t="s">
        <v>119</v>
      </c>
      <c r="E111" s="54" t="s">
        <v>21</v>
      </c>
      <c r="F111" s="54" t="s">
        <v>25</v>
      </c>
      <c r="G111" s="54" t="s">
        <v>497</v>
      </c>
      <c r="H111" s="93" t="s">
        <v>503</v>
      </c>
      <c r="I111" s="83" t="s">
        <v>503</v>
      </c>
      <c r="J111" s="84" t="s">
        <v>503</v>
      </c>
      <c r="K111" s="101" t="s">
        <v>700</v>
      </c>
      <c r="M111" s="101" t="str">
        <f t="shared" si="2"/>
        <v>Not Tracked</v>
      </c>
      <c r="O111" s="111"/>
      <c r="P111" s="110"/>
      <c r="Q111" s="108"/>
      <c r="R111" s="102" t="s">
        <v>699</v>
      </c>
      <c r="S111" s="102"/>
      <c r="T111" s="102"/>
      <c r="U111" s="115"/>
      <c r="V111" s="115"/>
      <c r="W111" s="115"/>
      <c r="X111" s="114"/>
    </row>
    <row r="112" spans="1:24" ht="39.75" hidden="1" customHeight="1">
      <c r="A112" s="119" t="s">
        <v>120</v>
      </c>
      <c r="B112" s="119" t="str">
        <f>_xlfn.XLOOKUP(A112,'Digital Ops'!$A$3:$A$12,'Digital Ops'!$B$3:$B$12)</f>
        <v>Operational Data Analyst</v>
      </c>
      <c r="C112" s="119" t="s">
        <v>645</v>
      </c>
      <c r="D112" s="119" t="s">
        <v>123</v>
      </c>
      <c r="E112" s="119" t="s">
        <v>21</v>
      </c>
      <c r="F112" s="119" t="s">
        <v>23</v>
      </c>
      <c r="G112" s="119"/>
      <c r="K112" s="101" t="s">
        <v>700</v>
      </c>
      <c r="M112" s="101" t="str">
        <f t="shared" si="2"/>
        <v>Not Tracked</v>
      </c>
      <c r="O112" s="111"/>
      <c r="P112" s="110"/>
      <c r="Q112" s="108"/>
      <c r="R112" s="102" t="s">
        <v>699</v>
      </c>
      <c r="S112" s="102"/>
      <c r="T112" s="102"/>
      <c r="U112" s="115"/>
      <c r="V112" s="115"/>
      <c r="W112" s="115"/>
      <c r="X112" s="114"/>
    </row>
    <row r="113" spans="1:24" ht="39.75" hidden="1" customHeight="1">
      <c r="A113" s="54" t="s">
        <v>120</v>
      </c>
      <c r="B113" s="54" t="str">
        <f>_xlfn.XLOOKUP(A113,'Digital Ops'!$A$3:$A$12,'Digital Ops'!$B$3:$B$12)</f>
        <v>Operational Data Analyst</v>
      </c>
      <c r="C113" s="54" t="s">
        <v>645</v>
      </c>
      <c r="D113" s="54" t="s">
        <v>124</v>
      </c>
      <c r="E113" s="54" t="s">
        <v>21</v>
      </c>
      <c r="F113" s="54" t="s">
        <v>24</v>
      </c>
      <c r="G113" s="54" t="s">
        <v>497</v>
      </c>
      <c r="H113" s="93" t="s">
        <v>599</v>
      </c>
      <c r="I113" s="83" t="s">
        <v>646</v>
      </c>
      <c r="J113" s="84" t="s">
        <v>594</v>
      </c>
      <c r="K113" s="101" t="s">
        <v>700</v>
      </c>
      <c r="L113" s="116"/>
      <c r="M113" s="101" t="str">
        <f t="shared" si="2"/>
        <v>Not Tracked</v>
      </c>
      <c r="O113" s="111"/>
      <c r="P113" s="110"/>
      <c r="Q113" s="108"/>
      <c r="R113" s="102" t="s">
        <v>701</v>
      </c>
      <c r="S113" s="113">
        <v>0.85</v>
      </c>
      <c r="T113" s="113">
        <v>0.75</v>
      </c>
      <c r="U113" s="115"/>
      <c r="V113" s="115"/>
      <c r="W113" s="115"/>
      <c r="X113" s="114"/>
    </row>
    <row r="114" spans="1:24" ht="39.75" hidden="1" customHeight="1">
      <c r="A114" s="119" t="s">
        <v>125</v>
      </c>
      <c r="B114" s="119" t="str">
        <f>_xlfn.XLOOKUP(A114,'Digital Ops'!$A$3:$A$12,'Digital Ops'!$B$3:$B$12)</f>
        <v xml:space="preserve">Reporting &amp; Evaluation Coordinator </v>
      </c>
      <c r="C114" s="119" t="s">
        <v>645</v>
      </c>
      <c r="D114" s="119" t="s">
        <v>123</v>
      </c>
      <c r="E114" s="119" t="s">
        <v>21</v>
      </c>
      <c r="F114" s="119" t="s">
        <v>23</v>
      </c>
      <c r="G114" s="119"/>
      <c r="K114" s="101" t="s">
        <v>700</v>
      </c>
      <c r="M114" s="101" t="str">
        <f t="shared" si="2"/>
        <v>Not Tracked</v>
      </c>
      <c r="O114" s="111"/>
      <c r="P114" s="110"/>
      <c r="Q114" s="108"/>
      <c r="R114" s="102" t="s">
        <v>699</v>
      </c>
      <c r="S114" s="102"/>
      <c r="T114" s="102"/>
      <c r="U114" s="115"/>
      <c r="V114" s="115"/>
      <c r="W114" s="115"/>
      <c r="X114" s="114"/>
    </row>
    <row r="115" spans="1:24" ht="39.75" hidden="1" customHeight="1">
      <c r="A115" s="54" t="s">
        <v>125</v>
      </c>
      <c r="B115" s="54" t="str">
        <f>_xlfn.XLOOKUP(A115,'Digital Ops'!$A$3:$A$12,'Digital Ops'!$B$3:$B$12)</f>
        <v xml:space="preserve">Reporting &amp; Evaluation Coordinator </v>
      </c>
      <c r="C115" s="54" t="s">
        <v>645</v>
      </c>
      <c r="D115" s="54" t="s">
        <v>124</v>
      </c>
      <c r="E115" s="54" t="s">
        <v>21</v>
      </c>
      <c r="F115" s="54" t="s">
        <v>24</v>
      </c>
      <c r="G115" s="54" t="s">
        <v>497</v>
      </c>
      <c r="H115" s="93" t="s">
        <v>599</v>
      </c>
      <c r="I115" s="83" t="s">
        <v>646</v>
      </c>
      <c r="J115" s="84" t="s">
        <v>594</v>
      </c>
      <c r="K115" s="101" t="s">
        <v>700</v>
      </c>
      <c r="L115" s="116"/>
      <c r="M115" s="101" t="str">
        <f t="shared" si="2"/>
        <v>Not Tracked</v>
      </c>
      <c r="O115" s="111"/>
      <c r="P115" s="110"/>
      <c r="Q115" s="108"/>
      <c r="R115" s="102" t="s">
        <v>701</v>
      </c>
      <c r="S115" s="113">
        <v>0.85</v>
      </c>
      <c r="T115" s="113">
        <v>0.75</v>
      </c>
      <c r="U115" s="115"/>
      <c r="V115" s="115"/>
      <c r="W115" s="115"/>
      <c r="X115" s="114"/>
    </row>
    <row r="116" spans="1:24" ht="47.25" hidden="1" customHeight="1">
      <c r="A116" s="119" t="s">
        <v>128</v>
      </c>
      <c r="B116" s="119" t="str">
        <f>_xlfn.XLOOKUP(A116,'Digital Ops'!$A$3:$A$12,'Digital Ops'!$B$3:$B$12)</f>
        <v>System &amp; Operations Associate Registrar
(title change)</v>
      </c>
      <c r="C116" s="119" t="s">
        <v>645</v>
      </c>
      <c r="D116" s="119" t="s">
        <v>123</v>
      </c>
      <c r="E116" s="119" t="s">
        <v>21</v>
      </c>
      <c r="F116" s="119" t="s">
        <v>23</v>
      </c>
      <c r="G116" s="119"/>
      <c r="K116" s="101" t="s">
        <v>700</v>
      </c>
      <c r="M116" s="101" t="str">
        <f t="shared" si="2"/>
        <v>Not Tracked</v>
      </c>
      <c r="O116" s="111"/>
      <c r="P116" s="110"/>
      <c r="Q116" s="108"/>
      <c r="R116" s="102" t="s">
        <v>699</v>
      </c>
      <c r="S116" s="102"/>
      <c r="T116" s="102"/>
      <c r="U116" s="115"/>
      <c r="V116" s="115"/>
      <c r="W116" s="115"/>
      <c r="X116" s="114"/>
    </row>
    <row r="117" spans="1:24" ht="47.25" hidden="1" customHeight="1">
      <c r="A117" s="54" t="s">
        <v>128</v>
      </c>
      <c r="B117" s="54" t="str">
        <f>_xlfn.XLOOKUP(A117,'Digital Ops'!$A$3:$A$12,'Digital Ops'!$B$3:$B$12)</f>
        <v>System &amp; Operations Associate Registrar
(title change)</v>
      </c>
      <c r="C117" s="54" t="s">
        <v>645</v>
      </c>
      <c r="D117" s="54" t="s">
        <v>124</v>
      </c>
      <c r="E117" s="54" t="s">
        <v>21</v>
      </c>
      <c r="F117" s="54" t="s">
        <v>24</v>
      </c>
      <c r="G117" s="54" t="s">
        <v>497</v>
      </c>
      <c r="H117" s="93" t="s">
        <v>599</v>
      </c>
      <c r="I117" s="83" t="s">
        <v>646</v>
      </c>
      <c r="J117" s="84" t="s">
        <v>594</v>
      </c>
      <c r="K117" s="101" t="s">
        <v>700</v>
      </c>
      <c r="L117" s="116"/>
      <c r="M117" s="101" t="str">
        <f t="shared" si="2"/>
        <v>Not Tracked</v>
      </c>
      <c r="O117" s="111"/>
      <c r="P117" s="110"/>
      <c r="Q117" s="108"/>
      <c r="R117" s="102" t="s">
        <v>701</v>
      </c>
      <c r="S117" s="113">
        <v>0.85</v>
      </c>
      <c r="T117" s="113">
        <v>0.75</v>
      </c>
      <c r="U117" s="115"/>
      <c r="V117" s="115"/>
      <c r="W117" s="115"/>
      <c r="X117" s="114"/>
    </row>
    <row r="118" spans="1:24" ht="39.75" hidden="1" customHeight="1">
      <c r="A118" s="54" t="s">
        <v>131</v>
      </c>
      <c r="B118" s="54" t="str">
        <f>_xlfn.XLOOKUP(A118,'Digital Ops'!$A$3:$A$12,'Digital Ops'!$B$3:$B$12)</f>
        <v>D365 &amp; Automation Manager</v>
      </c>
      <c r="C118" s="54" t="s">
        <v>645</v>
      </c>
      <c r="D118" s="54" t="s">
        <v>135</v>
      </c>
      <c r="E118" s="54" t="s">
        <v>21</v>
      </c>
      <c r="F118" s="54" t="s">
        <v>23</v>
      </c>
      <c r="G118" s="54" t="s">
        <v>497</v>
      </c>
      <c r="H118" s="93" t="s">
        <v>599</v>
      </c>
      <c r="I118" s="83" t="s">
        <v>646</v>
      </c>
      <c r="J118" s="84" t="s">
        <v>594</v>
      </c>
      <c r="K118" s="101" t="s">
        <v>700</v>
      </c>
      <c r="L118" s="116"/>
      <c r="M118" s="101" t="str">
        <f t="shared" si="2"/>
        <v>Not Tracked</v>
      </c>
      <c r="O118" s="111"/>
      <c r="P118" s="110"/>
      <c r="Q118" s="108"/>
      <c r="R118" s="102" t="s">
        <v>701</v>
      </c>
      <c r="S118" s="113">
        <v>0.85</v>
      </c>
      <c r="T118" s="113">
        <v>0.75</v>
      </c>
      <c r="U118" s="115"/>
      <c r="V118" s="115"/>
      <c r="W118" s="115"/>
      <c r="X118" s="114"/>
    </row>
    <row r="119" spans="1:24" ht="39.75" hidden="1" customHeight="1">
      <c r="A119" s="54" t="s">
        <v>131</v>
      </c>
      <c r="B119" s="54" t="str">
        <f>_xlfn.XLOOKUP(A119,'Digital Ops'!$A$3:$A$12,'Digital Ops'!$B$3:$B$12)</f>
        <v>D365 &amp; Automation Manager</v>
      </c>
      <c r="C119" s="54" t="s">
        <v>645</v>
      </c>
      <c r="D119" s="54" t="s">
        <v>124</v>
      </c>
      <c r="E119" s="54" t="s">
        <v>21</v>
      </c>
      <c r="F119" s="54" t="s">
        <v>24</v>
      </c>
      <c r="G119" s="54" t="s">
        <v>497</v>
      </c>
      <c r="H119" s="93" t="s">
        <v>599</v>
      </c>
      <c r="I119" s="83" t="s">
        <v>646</v>
      </c>
      <c r="J119" s="84" t="s">
        <v>594</v>
      </c>
      <c r="K119" s="101" t="s">
        <v>700</v>
      </c>
      <c r="L119" s="116"/>
      <c r="M119" s="101" t="str">
        <f t="shared" si="2"/>
        <v>Not Tracked</v>
      </c>
      <c r="O119" s="111"/>
      <c r="P119" s="110"/>
      <c r="Q119" s="108"/>
      <c r="R119" s="102" t="s">
        <v>701</v>
      </c>
      <c r="S119" s="113">
        <v>0.85</v>
      </c>
      <c r="T119" s="113">
        <v>0.75</v>
      </c>
      <c r="U119" s="115"/>
      <c r="V119" s="115"/>
      <c r="W119" s="115"/>
      <c r="X119" s="114"/>
    </row>
    <row r="120" spans="1:24" ht="39.75" hidden="1" customHeight="1">
      <c r="A120" s="54" t="s">
        <v>136</v>
      </c>
      <c r="B120" s="54" t="str">
        <f>_xlfn.XLOOKUP(A120,'Digital Ops'!$A$3:$A$12,'Digital Ops'!$B$3:$B$12)</f>
        <v>Companion &amp; Special Projects Manager</v>
      </c>
      <c r="C120" s="54" t="s">
        <v>645</v>
      </c>
      <c r="D120" s="54" t="s">
        <v>135</v>
      </c>
      <c r="E120" s="54" t="s">
        <v>21</v>
      </c>
      <c r="F120" s="54" t="s">
        <v>23</v>
      </c>
      <c r="G120" s="54" t="s">
        <v>497</v>
      </c>
      <c r="H120" s="93" t="s">
        <v>599</v>
      </c>
      <c r="I120" s="83" t="s">
        <v>646</v>
      </c>
      <c r="J120" s="84" t="s">
        <v>594</v>
      </c>
      <c r="K120" s="101" t="s">
        <v>700</v>
      </c>
      <c r="L120" s="116"/>
      <c r="M120" s="101" t="str">
        <f t="shared" si="2"/>
        <v>Not Tracked</v>
      </c>
      <c r="O120" s="111"/>
      <c r="P120" s="110"/>
      <c r="Q120" s="108"/>
      <c r="R120" s="102" t="s">
        <v>701</v>
      </c>
      <c r="S120" s="113">
        <v>0.85</v>
      </c>
      <c r="T120" s="113">
        <v>0.75</v>
      </c>
      <c r="U120" s="115"/>
      <c r="V120" s="115"/>
      <c r="W120" s="115"/>
      <c r="X120" s="114"/>
    </row>
    <row r="121" spans="1:24" ht="39.75" hidden="1" customHeight="1">
      <c r="A121" s="54" t="s">
        <v>136</v>
      </c>
      <c r="B121" s="54" t="str">
        <f>_xlfn.XLOOKUP(A121,'Digital Ops'!$A$3:$A$12,'Digital Ops'!$B$3:$B$12)</f>
        <v>Companion &amp; Special Projects Manager</v>
      </c>
      <c r="C121" s="54" t="s">
        <v>645</v>
      </c>
      <c r="D121" s="54" t="s">
        <v>124</v>
      </c>
      <c r="E121" s="54" t="s">
        <v>21</v>
      </c>
      <c r="F121" s="54" t="s">
        <v>24</v>
      </c>
      <c r="G121" s="54" t="s">
        <v>497</v>
      </c>
      <c r="H121" s="93" t="s">
        <v>599</v>
      </c>
      <c r="I121" s="83" t="s">
        <v>646</v>
      </c>
      <c r="J121" s="84" t="s">
        <v>594</v>
      </c>
      <c r="K121" s="101" t="s">
        <v>700</v>
      </c>
      <c r="L121" s="116"/>
      <c r="M121" s="101" t="str">
        <f t="shared" si="2"/>
        <v>Not Tracked</v>
      </c>
      <c r="O121" s="111"/>
      <c r="P121" s="110"/>
      <c r="Q121" s="108"/>
      <c r="R121" s="102" t="s">
        <v>701</v>
      </c>
      <c r="S121" s="113">
        <v>0.85</v>
      </c>
      <c r="T121" s="113">
        <v>0.75</v>
      </c>
      <c r="U121" s="115"/>
      <c r="V121" s="115"/>
      <c r="W121" s="115"/>
      <c r="X121" s="114"/>
    </row>
    <row r="122" spans="1:24" ht="39.75" hidden="1" customHeight="1">
      <c r="A122" s="54" t="s">
        <v>139</v>
      </c>
      <c r="B122" s="54" t="str">
        <f>_xlfn.XLOOKUP(A122,'Digital Ops'!$A$3:$A$12,'Digital Ops'!$B$3:$B$12)</f>
        <v>Data Manager</v>
      </c>
      <c r="C122" s="54" t="s">
        <v>645</v>
      </c>
      <c r="D122" s="54" t="s">
        <v>135</v>
      </c>
      <c r="E122" s="54" t="s">
        <v>21</v>
      </c>
      <c r="F122" s="54" t="s">
        <v>23</v>
      </c>
      <c r="G122" s="54" t="s">
        <v>497</v>
      </c>
      <c r="H122" s="93" t="s">
        <v>599</v>
      </c>
      <c r="I122" s="83" t="s">
        <v>646</v>
      </c>
      <c r="J122" s="84" t="s">
        <v>594</v>
      </c>
      <c r="K122" s="101" t="s">
        <v>700</v>
      </c>
      <c r="L122" s="116"/>
      <c r="M122" s="101" t="str">
        <f t="shared" si="2"/>
        <v>Not Tracked</v>
      </c>
      <c r="O122" s="111"/>
      <c r="P122" s="110"/>
      <c r="Q122" s="108"/>
      <c r="R122" s="102" t="s">
        <v>701</v>
      </c>
      <c r="S122" s="113">
        <v>0.85</v>
      </c>
      <c r="T122" s="113">
        <v>0.75</v>
      </c>
      <c r="U122" s="115"/>
      <c r="V122" s="115"/>
      <c r="W122" s="115"/>
      <c r="X122" s="114"/>
    </row>
    <row r="123" spans="1:24" ht="39.75" hidden="1" customHeight="1">
      <c r="A123" s="54" t="s">
        <v>139</v>
      </c>
      <c r="B123" s="54" t="str">
        <f>_xlfn.XLOOKUP(A123,'Digital Ops'!$A$3:$A$12,'Digital Ops'!$B$3:$B$12)</f>
        <v>Data Manager</v>
      </c>
      <c r="C123" s="54" t="s">
        <v>645</v>
      </c>
      <c r="D123" s="54" t="s">
        <v>124</v>
      </c>
      <c r="E123" s="54" t="s">
        <v>21</v>
      </c>
      <c r="F123" s="54" t="s">
        <v>24</v>
      </c>
      <c r="G123" s="54" t="s">
        <v>497</v>
      </c>
      <c r="H123" s="93" t="s">
        <v>599</v>
      </c>
      <c r="I123" s="83" t="s">
        <v>646</v>
      </c>
      <c r="J123" s="84" t="s">
        <v>594</v>
      </c>
      <c r="K123" s="101" t="s">
        <v>700</v>
      </c>
      <c r="L123" s="116"/>
      <c r="M123" s="101" t="str">
        <f t="shared" si="2"/>
        <v>Not Tracked</v>
      </c>
      <c r="O123" s="111"/>
      <c r="P123" s="110"/>
      <c r="Q123" s="108"/>
      <c r="R123" s="102" t="s">
        <v>701</v>
      </c>
      <c r="S123" s="113">
        <v>0.85</v>
      </c>
      <c r="T123" s="113">
        <v>0.75</v>
      </c>
      <c r="U123" s="115"/>
      <c r="V123" s="115"/>
      <c r="W123" s="115"/>
      <c r="X123" s="114"/>
    </row>
    <row r="124" spans="1:24" ht="39.75" hidden="1" customHeight="1">
      <c r="A124" s="54" t="s">
        <v>145</v>
      </c>
      <c r="B124" s="54" t="str">
        <f>_xlfn.XLOOKUP(A124,'Enrollment &amp; Retention'!$A$3:$A$14,'Enrollment &amp; Retention'!$B$3:$B$14)</f>
        <v>Director of Enrollment &amp; Retention</v>
      </c>
      <c r="C124" s="54" t="s">
        <v>334</v>
      </c>
      <c r="D124" s="54" t="s">
        <v>148</v>
      </c>
      <c r="E124" s="54" t="s">
        <v>21</v>
      </c>
      <c r="F124" s="54" t="s">
        <v>25</v>
      </c>
      <c r="G124" s="54" t="s">
        <v>497</v>
      </c>
      <c r="H124" s="93" t="s">
        <v>503</v>
      </c>
      <c r="I124" s="83" t="s">
        <v>503</v>
      </c>
      <c r="J124" s="84" t="s">
        <v>503</v>
      </c>
      <c r="K124" s="101" t="s">
        <v>700</v>
      </c>
      <c r="L124" s="116"/>
      <c r="M124" s="101" t="str">
        <f t="shared" si="2"/>
        <v>Not Tracked</v>
      </c>
      <c r="O124" s="111"/>
      <c r="P124" s="110"/>
      <c r="Q124" s="108"/>
      <c r="R124" s="102" t="s">
        <v>699</v>
      </c>
      <c r="S124" s="102"/>
      <c r="T124" s="102"/>
      <c r="U124" s="115"/>
      <c r="V124" s="115"/>
      <c r="W124" s="115"/>
      <c r="X124" s="114"/>
    </row>
    <row r="125" spans="1:24" ht="39.75" customHeight="1">
      <c r="A125" s="54" t="s">
        <v>145</v>
      </c>
      <c r="B125" s="54" t="str">
        <f>_xlfn.XLOOKUP(A125,'Enrollment &amp; Retention'!$A$3:$A$14,'Enrollment &amp; Retention'!$B$3:$B$14)</f>
        <v>Director of Enrollment &amp; Retention</v>
      </c>
      <c r="C125" s="54" t="s">
        <v>334</v>
      </c>
      <c r="D125" s="54" t="s">
        <v>102</v>
      </c>
      <c r="E125" s="54" t="s">
        <v>53</v>
      </c>
      <c r="F125" s="54" t="s">
        <v>26</v>
      </c>
      <c r="G125" s="54" t="s">
        <v>502</v>
      </c>
      <c r="H125" s="93" t="s">
        <v>543</v>
      </c>
      <c r="I125" s="83" t="s">
        <v>544</v>
      </c>
      <c r="J125" s="84" t="s">
        <v>550</v>
      </c>
      <c r="K125" s="101" t="s">
        <v>695</v>
      </c>
      <c r="L125" s="116">
        <v>0.90600000000000003</v>
      </c>
      <c r="M125" s="101" t="str">
        <f t="shared" si="2"/>
        <v>Green</v>
      </c>
      <c r="N125" s="131" t="s">
        <v>750</v>
      </c>
      <c r="O125" s="111"/>
      <c r="P125" s="110"/>
      <c r="Q125" s="108"/>
      <c r="R125" s="102" t="s">
        <v>701</v>
      </c>
      <c r="S125" s="113">
        <v>0.85</v>
      </c>
      <c r="T125" s="113">
        <v>0.8</v>
      </c>
      <c r="U125" s="115"/>
      <c r="V125" s="115"/>
      <c r="W125" s="115"/>
      <c r="X125" s="114"/>
    </row>
    <row r="126" spans="1:24" ht="39.75" customHeight="1">
      <c r="A126" s="54" t="s">
        <v>145</v>
      </c>
      <c r="B126" s="54" t="str">
        <f>_xlfn.XLOOKUP(A126,'Enrollment &amp; Retention'!$A$3:$A$14,'Enrollment &amp; Retention'!$B$3:$B$14)</f>
        <v>Director of Enrollment &amp; Retention</v>
      </c>
      <c r="C126" s="54" t="s">
        <v>334</v>
      </c>
      <c r="D126" s="54" t="s">
        <v>103</v>
      </c>
      <c r="E126" s="54" t="s">
        <v>53</v>
      </c>
      <c r="F126" s="54" t="s">
        <v>27</v>
      </c>
      <c r="G126" s="54" t="s">
        <v>502</v>
      </c>
      <c r="H126" s="93" t="s">
        <v>705</v>
      </c>
      <c r="I126" s="83" t="s">
        <v>706</v>
      </c>
      <c r="J126" s="84" t="s">
        <v>707</v>
      </c>
      <c r="K126" s="101" t="s">
        <v>695</v>
      </c>
      <c r="L126" s="117">
        <v>0.69</v>
      </c>
      <c r="M126" s="101" t="str">
        <f>IF(K126="Not Tracking","Not Tracked",IF(L126="","No Data",IF(R126="Higher is Better",IF(L126&gt;=S126,"Green",IF(L126&gt;=T126,"Yellow","Red")),IF(R126="Lower is Better",IF(L126&lt;=S126,"Green",IF(L126&lt;=T126,"Yellow","Red")),"Manual Review"))))</f>
        <v>Yellow</v>
      </c>
      <c r="N126" s="112" t="s">
        <v>708</v>
      </c>
      <c r="O126" s="111" t="s">
        <v>709</v>
      </c>
      <c r="P126" s="110"/>
      <c r="Q126" s="108"/>
      <c r="R126" s="102" t="s">
        <v>701</v>
      </c>
      <c r="S126" s="113">
        <v>0.75</v>
      </c>
      <c r="T126" s="113">
        <v>0.65</v>
      </c>
      <c r="U126" s="115"/>
      <c r="V126" s="115"/>
      <c r="W126" s="115"/>
      <c r="X126" s="114"/>
    </row>
    <row r="127" spans="1:24" ht="39.75" customHeight="1">
      <c r="A127" s="88" t="s">
        <v>751</v>
      </c>
      <c r="B127" s="88" t="s">
        <v>752</v>
      </c>
      <c r="C127" s="88" t="s">
        <v>334</v>
      </c>
      <c r="D127" s="88" t="s">
        <v>753</v>
      </c>
      <c r="E127" s="88" t="s">
        <v>53</v>
      </c>
      <c r="F127" s="88" t="s">
        <v>28</v>
      </c>
      <c r="G127" s="54" t="s">
        <v>502</v>
      </c>
      <c r="H127" s="93" t="s">
        <v>745</v>
      </c>
      <c r="I127" s="83" t="s">
        <v>746</v>
      </c>
      <c r="J127" s="84" t="s">
        <v>659</v>
      </c>
      <c r="K127" s="101" t="s">
        <v>695</v>
      </c>
      <c r="L127" s="116">
        <v>0.311</v>
      </c>
      <c r="M127" s="101" t="str">
        <f>IF(K127="Not Tracking","Not Tracked",IF(L127="","No Data",IF(R127="Higher is Better",IF(L127&gt;=S127,"Green",IF(L127&gt;=T127,"Yellow","Red")),IF(R127="Lower is Better",IF(L127&lt;=S127,"Green",IF(L127&lt;=T127,"Yellow","Red")),"Manual Review"))))</f>
        <v>Yellow</v>
      </c>
      <c r="N127" s="131" t="s">
        <v>754</v>
      </c>
      <c r="O127" s="111"/>
      <c r="P127" s="110"/>
      <c r="Q127" s="108"/>
      <c r="R127" s="102" t="s">
        <v>701</v>
      </c>
      <c r="S127" s="139">
        <v>0.45</v>
      </c>
      <c r="T127" s="139">
        <v>0.3</v>
      </c>
      <c r="U127" s="115"/>
      <c r="V127" s="115"/>
      <c r="W127" s="115"/>
      <c r="X127" s="114"/>
    </row>
    <row r="128" spans="1:24" ht="39.75" customHeight="1">
      <c r="A128" s="88" t="s">
        <v>751</v>
      </c>
      <c r="B128" s="88" t="s">
        <v>752</v>
      </c>
      <c r="C128" s="88" t="s">
        <v>334</v>
      </c>
      <c r="D128" s="88" t="s">
        <v>755</v>
      </c>
      <c r="E128" s="88" t="s">
        <v>53</v>
      </c>
      <c r="F128" s="88" t="s">
        <v>28</v>
      </c>
      <c r="G128" s="54" t="s">
        <v>502</v>
      </c>
      <c r="H128" s="93" t="s">
        <v>657</v>
      </c>
      <c r="I128" s="83" t="s">
        <v>658</v>
      </c>
      <c r="J128" s="84" t="s">
        <v>659</v>
      </c>
      <c r="K128" s="101" t="s">
        <v>695</v>
      </c>
      <c r="L128" s="116">
        <v>0.32800000000000001</v>
      </c>
      <c r="M128" s="101" t="str">
        <f>IF(K128="Not Tracking","Not Tracked",IF(L128="","No Data",IF(R128="Higher is Better",IF(L128&gt;=S128,"Green",IF(L128&gt;=T128,"Yellow","Red")),IF(R128="Lower is Better",IF(L128&lt;=S128,"Green",IF(L128&lt;=T128,"Yellow","Red")),"Manual Review"))))</f>
        <v>Yellow</v>
      </c>
      <c r="N128" s="131" t="s">
        <v>754</v>
      </c>
      <c r="O128" s="111"/>
      <c r="P128" s="110"/>
      <c r="Q128" s="108"/>
      <c r="R128" s="102" t="s">
        <v>701</v>
      </c>
      <c r="S128" s="139">
        <v>0.4</v>
      </c>
      <c r="T128" s="139">
        <v>0.3</v>
      </c>
      <c r="U128" s="115"/>
      <c r="V128" s="115"/>
      <c r="W128" s="115"/>
      <c r="X128" s="114"/>
    </row>
    <row r="129" spans="1:24" ht="39.75" customHeight="1">
      <c r="A129" s="54" t="s">
        <v>154</v>
      </c>
      <c r="B129" s="54" t="str">
        <f>_xlfn.XLOOKUP(A129,'Enrollment &amp; Retention'!$A$3:$A$14,'Enrollment &amp; Retention'!$B$3:$B$14)</f>
        <v>Mentoring Manager</v>
      </c>
      <c r="C129" s="54" t="s">
        <v>334</v>
      </c>
      <c r="D129" s="54" t="s">
        <v>157</v>
      </c>
      <c r="E129" s="54" t="s">
        <v>21</v>
      </c>
      <c r="F129" s="54" t="s">
        <v>23</v>
      </c>
      <c r="G129" s="54" t="s">
        <v>502</v>
      </c>
      <c r="H129" s="93" t="s">
        <v>727</v>
      </c>
      <c r="I129" s="83" t="s">
        <v>728</v>
      </c>
      <c r="J129" s="84" t="s">
        <v>548</v>
      </c>
      <c r="K129" s="101" t="s">
        <v>695</v>
      </c>
      <c r="L129" s="117">
        <v>0.99</v>
      </c>
      <c r="M129" s="101" t="str">
        <f t="shared" si="2"/>
        <v>Green</v>
      </c>
      <c r="N129" s="131" t="s">
        <v>756</v>
      </c>
      <c r="O129" s="111" t="s">
        <v>709</v>
      </c>
      <c r="P129" s="110"/>
      <c r="Q129" s="108"/>
      <c r="R129" s="102" t="s">
        <v>701</v>
      </c>
      <c r="S129" s="139">
        <v>0.95</v>
      </c>
      <c r="T129" s="139">
        <v>0.85</v>
      </c>
      <c r="U129" s="115"/>
      <c r="V129" s="115"/>
      <c r="W129" s="115"/>
      <c r="X129" s="114"/>
    </row>
    <row r="130" spans="1:24" ht="39.75" customHeight="1">
      <c r="A130" s="54" t="s">
        <v>154</v>
      </c>
      <c r="B130" s="54" t="str">
        <f>_xlfn.XLOOKUP(A130,'Enrollment &amp; Retention'!$A$3:$A$14,'Enrollment &amp; Retention'!$B$3:$B$14)</f>
        <v>Mentoring Manager</v>
      </c>
      <c r="C130" s="54" t="s">
        <v>334</v>
      </c>
      <c r="D130" s="54" t="s">
        <v>665</v>
      </c>
      <c r="E130" s="54" t="s">
        <v>21</v>
      </c>
      <c r="F130" s="54" t="s">
        <v>24</v>
      </c>
      <c r="G130" s="54" t="s">
        <v>502</v>
      </c>
      <c r="H130" s="93" t="s">
        <v>599</v>
      </c>
      <c r="I130" s="83" t="s">
        <v>600</v>
      </c>
      <c r="J130" s="84" t="s">
        <v>757</v>
      </c>
      <c r="K130" s="101" t="s">
        <v>695</v>
      </c>
      <c r="L130" s="117">
        <v>0.95</v>
      </c>
      <c r="M130" s="101" t="str">
        <f t="shared" si="2"/>
        <v>Green</v>
      </c>
      <c r="N130" s="131" t="s">
        <v>758</v>
      </c>
      <c r="O130" s="111" t="s">
        <v>709</v>
      </c>
      <c r="P130" s="110"/>
      <c r="Q130" s="108"/>
      <c r="R130" s="102" t="s">
        <v>701</v>
      </c>
      <c r="S130" s="139">
        <v>0.85</v>
      </c>
      <c r="T130" s="139">
        <v>0.7</v>
      </c>
      <c r="U130" s="115"/>
      <c r="V130" s="115"/>
      <c r="W130" s="115"/>
      <c r="X130" s="114"/>
    </row>
    <row r="131" spans="1:24" ht="39.75" customHeight="1">
      <c r="A131" s="54" t="s">
        <v>154</v>
      </c>
      <c r="B131" s="54" t="str">
        <f>_xlfn.XLOOKUP(A131,'Enrollment &amp; Retention'!$A$3:$A$14,'Enrollment &amp; Retention'!$B$3:$B$14)</f>
        <v>Mentoring Manager</v>
      </c>
      <c r="C131" s="54" t="s">
        <v>334</v>
      </c>
      <c r="D131" s="54" t="s">
        <v>159</v>
      </c>
      <c r="E131" s="54" t="s">
        <v>53</v>
      </c>
      <c r="F131" s="54" t="s">
        <v>27</v>
      </c>
      <c r="G131" s="54" t="s">
        <v>502</v>
      </c>
      <c r="H131" s="93" t="s">
        <v>599</v>
      </c>
      <c r="I131" s="83" t="s">
        <v>600</v>
      </c>
      <c r="J131" s="84" t="s">
        <v>757</v>
      </c>
      <c r="K131" s="101" t="s">
        <v>695</v>
      </c>
      <c r="L131" s="117">
        <v>0.9</v>
      </c>
      <c r="M131" s="101" t="str">
        <f t="shared" si="2"/>
        <v>Green</v>
      </c>
      <c r="N131" s="131" t="s">
        <v>759</v>
      </c>
      <c r="O131" s="111" t="s">
        <v>709</v>
      </c>
      <c r="P131" s="110"/>
      <c r="Q131" s="108"/>
      <c r="R131" s="102" t="s">
        <v>701</v>
      </c>
      <c r="S131" s="139">
        <v>0.85</v>
      </c>
      <c r="T131" s="139">
        <v>0.7</v>
      </c>
      <c r="U131" s="115"/>
      <c r="V131" s="115"/>
      <c r="W131" s="115"/>
      <c r="X131" s="114"/>
    </row>
    <row r="132" spans="1:24" ht="39.75" hidden="1" customHeight="1">
      <c r="A132" s="54" t="s">
        <v>154</v>
      </c>
      <c r="B132" s="54" t="str">
        <f>_xlfn.XLOOKUP(A132,'Enrollment &amp; Retention'!$A$3:$A$14,'Enrollment &amp; Retention'!$B$3:$B$14)</f>
        <v>Mentoring Manager</v>
      </c>
      <c r="C132" s="54" t="s">
        <v>334</v>
      </c>
      <c r="D132" s="54" t="s">
        <v>160</v>
      </c>
      <c r="E132" s="54" t="s">
        <v>53</v>
      </c>
      <c r="F132" s="54" t="s">
        <v>28</v>
      </c>
      <c r="G132" s="54" t="s">
        <v>499</v>
      </c>
      <c r="K132" s="101" t="s">
        <v>700</v>
      </c>
      <c r="M132" s="101" t="str">
        <f t="shared" si="2"/>
        <v>Not Tracked</v>
      </c>
      <c r="O132" s="111"/>
      <c r="P132" s="110"/>
      <c r="Q132" s="108"/>
      <c r="R132" s="102" t="s">
        <v>699</v>
      </c>
      <c r="S132" s="102"/>
      <c r="T132" s="102"/>
      <c r="U132" s="115"/>
      <c r="V132" s="115"/>
      <c r="W132" s="115"/>
      <c r="X132" s="114"/>
    </row>
    <row r="133" spans="1:24" ht="39.75" customHeight="1">
      <c r="A133" s="54" t="s">
        <v>161</v>
      </c>
      <c r="B133" s="54" t="str">
        <f>_xlfn.XLOOKUP(A133,'Enrollment &amp; Retention'!$A$3:$A$14,'Enrollment &amp; Retention'!$B$3:$B$14)</f>
        <v>Mentoring Content Coordinator</v>
      </c>
      <c r="C133" s="54" t="s">
        <v>334</v>
      </c>
      <c r="D133" s="54" t="s">
        <v>665</v>
      </c>
      <c r="E133" s="54" t="s">
        <v>21</v>
      </c>
      <c r="F133" s="54" t="s">
        <v>24</v>
      </c>
      <c r="G133" s="54" t="s">
        <v>502</v>
      </c>
      <c r="H133" s="93" t="s">
        <v>599</v>
      </c>
      <c r="I133" s="83" t="s">
        <v>600</v>
      </c>
      <c r="J133" s="84" t="s">
        <v>757</v>
      </c>
      <c r="K133" s="101" t="s">
        <v>695</v>
      </c>
      <c r="L133" s="117">
        <v>0.95</v>
      </c>
      <c r="M133" s="101" t="str">
        <f t="shared" ref="M133:M135" si="3">IF(K133="Not Tracking","Not Tracked",IF(L133="","No Data",IF(R133="Higher is Better",IF(L133&gt;=S133,"Green",IF(L133&gt;=T133,"Yellow","Red")),IF(R133="Lower is Better",IF(L133&lt;=S133,"Green",IF(L133&lt;=T133,"Yellow","Red")),"Manual Review"))))</f>
        <v>Green</v>
      </c>
      <c r="N133" s="131" t="s">
        <v>758</v>
      </c>
      <c r="O133" s="111" t="s">
        <v>709</v>
      </c>
      <c r="P133" s="110"/>
      <c r="Q133" s="108"/>
      <c r="R133" s="102" t="s">
        <v>701</v>
      </c>
      <c r="S133" s="113">
        <v>0.85</v>
      </c>
      <c r="T133" s="113">
        <v>0.7</v>
      </c>
      <c r="U133" s="115"/>
      <c r="V133" s="115"/>
      <c r="W133" s="115"/>
      <c r="X133" s="114"/>
    </row>
    <row r="134" spans="1:24" ht="39.75" customHeight="1">
      <c r="A134" s="54" t="s">
        <v>161</v>
      </c>
      <c r="B134" s="54" t="str">
        <f>_xlfn.XLOOKUP(A134,'Enrollment &amp; Retention'!$A$3:$A$14,'Enrollment &amp; Retention'!$B$3:$B$14)</f>
        <v>Mentoring Content Coordinator</v>
      </c>
      <c r="C134" s="54" t="s">
        <v>334</v>
      </c>
      <c r="D134" s="54" t="s">
        <v>159</v>
      </c>
      <c r="E134" s="54" t="s">
        <v>21</v>
      </c>
      <c r="F134" s="54" t="s">
        <v>24</v>
      </c>
      <c r="G134" s="54" t="s">
        <v>502</v>
      </c>
      <c r="H134" s="93" t="s">
        <v>599</v>
      </c>
      <c r="I134" s="83" t="s">
        <v>600</v>
      </c>
      <c r="J134" s="84" t="s">
        <v>757</v>
      </c>
      <c r="K134" s="101" t="s">
        <v>695</v>
      </c>
      <c r="L134" s="117">
        <v>0.9</v>
      </c>
      <c r="M134" s="101" t="str">
        <f t="shared" si="3"/>
        <v>Green</v>
      </c>
      <c r="N134" s="131" t="s">
        <v>759</v>
      </c>
      <c r="O134" s="111" t="s">
        <v>709</v>
      </c>
      <c r="P134" s="110"/>
      <c r="Q134" s="108"/>
      <c r="R134" s="102" t="s">
        <v>701</v>
      </c>
      <c r="S134" s="113">
        <v>0.85</v>
      </c>
      <c r="T134" s="113">
        <v>0.7</v>
      </c>
      <c r="U134" s="115"/>
      <c r="V134" s="115"/>
      <c r="W134" s="115"/>
      <c r="X134" s="114"/>
    </row>
    <row r="135" spans="1:24" ht="39.75" customHeight="1">
      <c r="A135" s="54" t="s">
        <v>166</v>
      </c>
      <c r="B135" s="54" t="str">
        <f>_xlfn.XLOOKUP(A135,'Enrollment &amp; Retention'!$A$3:$A$14,'Enrollment &amp; Retention'!$B$3:$B$14)</f>
        <v>Mentor Operations Coordinator</v>
      </c>
      <c r="C135" s="54" t="s">
        <v>334</v>
      </c>
      <c r="D135" s="54" t="s">
        <v>157</v>
      </c>
      <c r="E135" s="54" t="s">
        <v>21</v>
      </c>
      <c r="F135" s="54" t="s">
        <v>23</v>
      </c>
      <c r="G135" s="54" t="s">
        <v>502</v>
      </c>
      <c r="H135" s="93" t="s">
        <v>727</v>
      </c>
      <c r="I135" s="83" t="s">
        <v>728</v>
      </c>
      <c r="J135" s="84" t="s">
        <v>548</v>
      </c>
      <c r="K135" s="101" t="s">
        <v>695</v>
      </c>
      <c r="L135" s="117">
        <v>0.99</v>
      </c>
      <c r="M135" s="101" t="str">
        <f t="shared" si="3"/>
        <v>Green</v>
      </c>
      <c r="N135" s="131" t="s">
        <v>756</v>
      </c>
      <c r="O135" s="111" t="s">
        <v>709</v>
      </c>
      <c r="P135" s="110"/>
      <c r="Q135" s="108"/>
      <c r="R135" s="102" t="s">
        <v>701</v>
      </c>
      <c r="S135" s="113">
        <v>0.95</v>
      </c>
      <c r="T135" s="113">
        <v>0.85</v>
      </c>
      <c r="U135" s="115"/>
      <c r="V135" s="115"/>
      <c r="W135" s="115"/>
      <c r="X135" s="114"/>
    </row>
    <row r="136" spans="1:24" ht="39.75" customHeight="1">
      <c r="A136" s="54" t="s">
        <v>166</v>
      </c>
      <c r="B136" s="54" t="str">
        <f>_xlfn.XLOOKUP(A136,'Enrollment &amp; Retention'!$A$3:$A$14,'Enrollment &amp; Retention'!$B$3:$B$14)</f>
        <v>Mentor Operations Coordinator</v>
      </c>
      <c r="C136" s="54" t="s">
        <v>334</v>
      </c>
      <c r="D136" s="54" t="s">
        <v>169</v>
      </c>
      <c r="E136" s="54" t="s">
        <v>21</v>
      </c>
      <c r="F136" s="54" t="s">
        <v>24</v>
      </c>
      <c r="G136" s="54" t="s">
        <v>497</v>
      </c>
      <c r="H136" s="93" t="s">
        <v>599</v>
      </c>
      <c r="I136" s="83" t="s">
        <v>600</v>
      </c>
      <c r="J136" s="84" t="s">
        <v>757</v>
      </c>
      <c r="K136" s="101" t="s">
        <v>695</v>
      </c>
      <c r="L136" s="116">
        <v>0.89500000000000002</v>
      </c>
      <c r="M136" s="101" t="str">
        <f t="shared" ref="M136:M155" si="4">IF(K136="Not Tracking","Not Tracked",IF(L136="","No Data",IF(R136="Higher is Better",IF(L136&gt;=S136,"Green",IF(L136&gt;=T136,"Yellow","Red")),IF(R136="Lower is Better",IF(L136&lt;=S136,"Green",IF(L136&lt;=T136,"Yellow","Red")),"Manual Review"))))</f>
        <v>Green</v>
      </c>
      <c r="N136" s="131" t="s">
        <v>760</v>
      </c>
      <c r="O136" s="111" t="s">
        <v>390</v>
      </c>
      <c r="P136" s="110"/>
      <c r="Q136" s="108"/>
      <c r="R136" s="102" t="s">
        <v>701</v>
      </c>
      <c r="S136" s="113">
        <v>0.85</v>
      </c>
      <c r="T136" s="113">
        <v>0.7</v>
      </c>
      <c r="U136" s="115"/>
      <c r="V136" s="115"/>
      <c r="W136" s="115"/>
      <c r="X136" s="114"/>
    </row>
    <row r="137" spans="1:24" ht="39.75" hidden="1" customHeight="1">
      <c r="A137" s="54" t="s">
        <v>170</v>
      </c>
      <c r="B137" s="54" t="str">
        <f>_xlfn.XLOOKUP(A137,'Enrollment &amp; Retention'!$A$3:$A$14,'Enrollment &amp; Retention'!$B$3:$B$14)</f>
        <v>Senior Manager of Enrollment Services</v>
      </c>
      <c r="C137" s="54" t="s">
        <v>334</v>
      </c>
      <c r="D137" s="54" t="s">
        <v>666</v>
      </c>
      <c r="E137" s="54" t="s">
        <v>53</v>
      </c>
      <c r="F137" s="54" t="s">
        <v>26</v>
      </c>
      <c r="G137" s="54" t="s">
        <v>497</v>
      </c>
      <c r="K137" s="101" t="s">
        <v>700</v>
      </c>
      <c r="M137" s="101" t="str">
        <f t="shared" si="4"/>
        <v>Not Tracked</v>
      </c>
      <c r="O137" s="111"/>
      <c r="P137" s="110"/>
      <c r="Q137" s="108"/>
      <c r="R137" s="102" t="s">
        <v>699</v>
      </c>
      <c r="S137" s="102"/>
      <c r="T137" s="102"/>
      <c r="U137" s="115"/>
      <c r="V137" s="115"/>
      <c r="W137" s="115"/>
      <c r="X137" s="114"/>
    </row>
    <row r="138" spans="1:24" ht="39.75" hidden="1" customHeight="1">
      <c r="A138" s="54" t="s">
        <v>170</v>
      </c>
      <c r="B138" s="54" t="str">
        <f>_xlfn.XLOOKUP(A138,'Enrollment &amp; Retention'!$A$3:$A$14,'Enrollment &amp; Retention'!$B$3:$B$14)</f>
        <v>Senior Manager of Enrollment Services</v>
      </c>
      <c r="C138" s="54" t="s">
        <v>334</v>
      </c>
      <c r="D138" s="54" t="s">
        <v>667</v>
      </c>
      <c r="E138" s="54" t="s">
        <v>53</v>
      </c>
      <c r="F138" s="54" t="s">
        <v>26</v>
      </c>
      <c r="G138" s="54" t="s">
        <v>497</v>
      </c>
      <c r="K138" s="101" t="s">
        <v>700</v>
      </c>
      <c r="M138" s="101" t="str">
        <f t="shared" si="4"/>
        <v>Not Tracked</v>
      </c>
      <c r="O138" s="111"/>
      <c r="P138" s="110"/>
      <c r="Q138" s="108"/>
      <c r="R138" s="102" t="s">
        <v>699</v>
      </c>
      <c r="S138" s="102"/>
      <c r="T138" s="102"/>
      <c r="U138" s="115"/>
      <c r="V138" s="115"/>
      <c r="W138" s="115"/>
      <c r="X138" s="114"/>
    </row>
    <row r="139" spans="1:24" ht="39.75" customHeight="1">
      <c r="A139" s="54" t="s">
        <v>170</v>
      </c>
      <c r="B139" s="54" t="str">
        <f>_xlfn.XLOOKUP(A139,'Enrollment &amp; Retention'!$A$3:$A$14,'Enrollment &amp; Retention'!$B$3:$B$14)</f>
        <v>Senior Manager of Enrollment Services</v>
      </c>
      <c r="C139" s="54" t="s">
        <v>334</v>
      </c>
      <c r="D139" s="54" t="s">
        <v>761</v>
      </c>
      <c r="E139" s="54" t="s">
        <v>53</v>
      </c>
      <c r="F139" s="54" t="s">
        <v>28</v>
      </c>
      <c r="G139" s="54" t="s">
        <v>502</v>
      </c>
      <c r="H139" s="93" t="s">
        <v>660</v>
      </c>
      <c r="I139" s="83" t="s">
        <v>762</v>
      </c>
      <c r="J139" s="84" t="s">
        <v>763</v>
      </c>
      <c r="K139" s="101" t="s">
        <v>695</v>
      </c>
      <c r="L139" s="116">
        <v>0.66610000000000003</v>
      </c>
      <c r="M139" s="101" t="str">
        <f t="shared" si="4"/>
        <v>Yellow</v>
      </c>
      <c r="N139" s="131" t="s">
        <v>764</v>
      </c>
      <c r="O139" s="111"/>
      <c r="P139" s="110"/>
      <c r="Q139" s="108"/>
      <c r="R139" s="102" t="s">
        <v>701</v>
      </c>
      <c r="S139" s="113">
        <v>0.75</v>
      </c>
      <c r="T139" s="113">
        <v>0.6</v>
      </c>
      <c r="U139" s="115"/>
      <c r="V139" s="115"/>
      <c r="W139" s="115"/>
      <c r="X139" s="114"/>
    </row>
    <row r="140" spans="1:24" ht="39.75" hidden="1" customHeight="1">
      <c r="A140" s="119" t="s">
        <v>170</v>
      </c>
      <c r="B140" s="119" t="str">
        <f>_xlfn.XLOOKUP(A140,'Enrollment &amp; Retention'!$A$3:$A$14,'Enrollment &amp; Retention'!$B$3:$B$14)</f>
        <v>Senior Manager of Enrollment Services</v>
      </c>
      <c r="C140" s="119" t="s">
        <v>334</v>
      </c>
      <c r="D140" s="119" t="s">
        <v>670</v>
      </c>
      <c r="E140" s="54" t="s">
        <v>53</v>
      </c>
      <c r="F140" s="54" t="s">
        <v>28</v>
      </c>
      <c r="G140" s="54" t="s">
        <v>502</v>
      </c>
      <c r="K140" s="101" t="s">
        <v>700</v>
      </c>
      <c r="M140" s="101" t="str">
        <f t="shared" si="4"/>
        <v>Not Tracked</v>
      </c>
      <c r="O140" s="111"/>
      <c r="P140" s="110"/>
      <c r="Q140" s="108"/>
      <c r="R140" s="102" t="s">
        <v>699</v>
      </c>
      <c r="S140" s="102"/>
      <c r="T140" s="102"/>
      <c r="U140" s="115"/>
      <c r="V140" s="115"/>
      <c r="W140" s="115"/>
      <c r="X140" s="114"/>
    </row>
    <row r="141" spans="1:24" ht="39.75" customHeight="1">
      <c r="A141" s="54" t="s">
        <v>175</v>
      </c>
      <c r="B141" s="54" t="str">
        <f>_xlfn.XLOOKUP(A141,'Enrollment &amp; Retention'!$A$3:$A$14,'Enrollment &amp; Retention'!$B$3:$B$14)</f>
        <v>Enrollment Counseling Manager</v>
      </c>
      <c r="C141" s="54" t="s">
        <v>334</v>
      </c>
      <c r="D141" s="54" t="s">
        <v>671</v>
      </c>
      <c r="E141" s="54" t="s">
        <v>21</v>
      </c>
      <c r="F141" s="54" t="s">
        <v>23</v>
      </c>
      <c r="G141" s="54" t="s">
        <v>497</v>
      </c>
      <c r="H141" s="93" t="s">
        <v>727</v>
      </c>
      <c r="I141" s="83" t="s">
        <v>728</v>
      </c>
      <c r="J141" s="84" t="s">
        <v>548</v>
      </c>
      <c r="K141" s="101" t="s">
        <v>695</v>
      </c>
      <c r="L141" s="117">
        <v>0.98</v>
      </c>
      <c r="M141" s="101" t="str">
        <f t="shared" si="4"/>
        <v>Green</v>
      </c>
      <c r="N141" s="131" t="s">
        <v>765</v>
      </c>
      <c r="O141" s="111"/>
      <c r="P141" s="110"/>
      <c r="Q141" s="108"/>
      <c r="R141" s="102" t="s">
        <v>701</v>
      </c>
      <c r="S141" s="113">
        <v>0.95</v>
      </c>
      <c r="T141" s="113">
        <v>0.85</v>
      </c>
      <c r="U141" s="115"/>
      <c r="V141" s="115"/>
      <c r="W141" s="115"/>
      <c r="X141" s="114"/>
    </row>
    <row r="142" spans="1:24" ht="39.75" hidden="1" customHeight="1">
      <c r="A142" s="54" t="s">
        <v>175</v>
      </c>
      <c r="B142" s="54" t="str">
        <f>_xlfn.XLOOKUP(A142,'Enrollment &amp; Retention'!$A$3:$A$14,'Enrollment &amp; Retention'!$B$3:$B$14)</f>
        <v>Enrollment Counseling Manager</v>
      </c>
      <c r="C142" s="54" t="s">
        <v>334</v>
      </c>
      <c r="D142" s="54" t="s">
        <v>672</v>
      </c>
      <c r="E142" s="54" t="s">
        <v>21</v>
      </c>
      <c r="F142" s="54" t="s">
        <v>23</v>
      </c>
      <c r="G142" s="54" t="s">
        <v>499</v>
      </c>
      <c r="K142" s="101" t="s">
        <v>700</v>
      </c>
      <c r="M142" s="101" t="str">
        <f t="shared" si="4"/>
        <v>Not Tracked</v>
      </c>
      <c r="O142" s="111"/>
      <c r="P142" s="110"/>
      <c r="Q142" s="108"/>
      <c r="R142" s="102" t="s">
        <v>699</v>
      </c>
      <c r="S142" s="102"/>
      <c r="T142" s="102"/>
      <c r="U142" s="115"/>
      <c r="V142" s="115"/>
      <c r="W142" s="115"/>
      <c r="X142" s="114"/>
    </row>
    <row r="143" spans="1:24" ht="39.75" customHeight="1">
      <c r="A143" s="54" t="s">
        <v>175</v>
      </c>
      <c r="B143" s="54" t="str">
        <f>_xlfn.XLOOKUP(A143,'Enrollment &amp; Retention'!$A$3:$A$14,'Enrollment &amp; Retention'!$B$3:$B$14)</f>
        <v>Enrollment Counseling Manager</v>
      </c>
      <c r="C143" s="54" t="s">
        <v>334</v>
      </c>
      <c r="D143" s="54" t="s">
        <v>673</v>
      </c>
      <c r="E143" s="54" t="s">
        <v>21</v>
      </c>
      <c r="F143" s="54" t="s">
        <v>24</v>
      </c>
      <c r="G143" s="54" t="s">
        <v>502</v>
      </c>
      <c r="H143" s="93" t="s">
        <v>588</v>
      </c>
      <c r="I143" s="83" t="s">
        <v>766</v>
      </c>
      <c r="J143" s="84" t="s">
        <v>594</v>
      </c>
      <c r="K143" s="101" t="s">
        <v>695</v>
      </c>
      <c r="L143" s="116">
        <v>0.92390000000000005</v>
      </c>
      <c r="M143" s="101" t="str">
        <f t="shared" si="4"/>
        <v>Green</v>
      </c>
      <c r="N143" s="131" t="s">
        <v>767</v>
      </c>
      <c r="O143" s="111"/>
      <c r="P143" s="110"/>
      <c r="Q143" s="108"/>
      <c r="R143" s="102" t="s">
        <v>701</v>
      </c>
      <c r="S143" s="113">
        <v>0.9</v>
      </c>
      <c r="T143" s="113">
        <v>0.75</v>
      </c>
      <c r="U143" s="115"/>
      <c r="V143" s="115"/>
      <c r="W143" s="115"/>
      <c r="X143" s="114"/>
    </row>
    <row r="144" spans="1:24" ht="39.75" hidden="1" customHeight="1">
      <c r="A144" s="54" t="s">
        <v>175</v>
      </c>
      <c r="B144" s="54" t="str">
        <f>_xlfn.XLOOKUP(A144,'Enrollment &amp; Retention'!$A$3:$A$14,'Enrollment &amp; Retention'!$B$3:$B$14)</f>
        <v>Enrollment Counseling Manager</v>
      </c>
      <c r="C144" s="54" t="s">
        <v>334</v>
      </c>
      <c r="D144" s="54" t="s">
        <v>674</v>
      </c>
      <c r="E144" s="54" t="s">
        <v>21</v>
      </c>
      <c r="F144" s="54" t="s">
        <v>24</v>
      </c>
      <c r="G144" s="54" t="s">
        <v>499</v>
      </c>
      <c r="K144" s="101" t="s">
        <v>700</v>
      </c>
      <c r="M144" s="101" t="str">
        <f t="shared" si="4"/>
        <v>Not Tracked</v>
      </c>
      <c r="O144" s="111"/>
      <c r="P144" s="110"/>
      <c r="Q144" s="108"/>
      <c r="R144" s="102" t="s">
        <v>699</v>
      </c>
      <c r="S144" s="102"/>
      <c r="T144" s="102"/>
      <c r="U144" s="115"/>
      <c r="V144" s="115"/>
      <c r="W144" s="115"/>
      <c r="X144" s="114"/>
    </row>
    <row r="145" spans="1:24" ht="48.75" customHeight="1">
      <c r="A145" s="54" t="s">
        <v>180</v>
      </c>
      <c r="B145" s="54" t="str">
        <f>_xlfn.XLOOKUP(A145,'Enrollment &amp; Retention'!$A$3:$A$14,'Enrollment &amp; Retention'!$B$3:$B$14)</f>
        <v>Enrollment Counseling Development and Performance Coordinator</v>
      </c>
      <c r="C145" s="54" t="s">
        <v>334</v>
      </c>
      <c r="D145" s="54" t="s">
        <v>673</v>
      </c>
      <c r="E145" s="54" t="s">
        <v>21</v>
      </c>
      <c r="F145" s="54" t="s">
        <v>24</v>
      </c>
      <c r="G145" s="54" t="s">
        <v>502</v>
      </c>
      <c r="H145" s="93" t="s">
        <v>588</v>
      </c>
      <c r="I145" s="83" t="s">
        <v>766</v>
      </c>
      <c r="J145" s="84" t="s">
        <v>594</v>
      </c>
      <c r="K145" s="101" t="s">
        <v>695</v>
      </c>
      <c r="L145" s="116">
        <v>0.92390000000000005</v>
      </c>
      <c r="M145" s="101" t="str">
        <f t="shared" ref="M145" si="5">IF(K145="Not Tracking","Not Tracked",IF(L145="","No Data",IF(R145="Higher is Better",IF(L145&gt;=S145,"Green",IF(L145&gt;=T145,"Yellow","Red")),IF(R145="Lower is Better",IF(L145&lt;=S145,"Green",IF(L145&lt;=T145,"Yellow","Red")),"Manual Review"))))</f>
        <v>Green</v>
      </c>
      <c r="N145" s="131" t="s">
        <v>767</v>
      </c>
      <c r="O145" s="111"/>
      <c r="P145" s="110"/>
      <c r="Q145" s="108"/>
      <c r="R145" s="102" t="s">
        <v>701</v>
      </c>
      <c r="S145" s="113">
        <v>0.9</v>
      </c>
      <c r="T145" s="113">
        <v>0.75</v>
      </c>
      <c r="U145" s="115"/>
      <c r="V145" s="115"/>
      <c r="W145" s="115"/>
      <c r="X145" s="114"/>
    </row>
    <row r="146" spans="1:24" ht="53.25" hidden="1" customHeight="1">
      <c r="A146" s="54" t="s">
        <v>180</v>
      </c>
      <c r="B146" s="54" t="str">
        <f>_xlfn.XLOOKUP(A146,'Enrollment &amp; Retention'!$A$3:$A$14,'Enrollment &amp; Retention'!$B$3:$B$14)</f>
        <v>Enrollment Counseling Development and Performance Coordinator</v>
      </c>
      <c r="C146" s="54" t="s">
        <v>334</v>
      </c>
      <c r="D146" s="54" t="s">
        <v>674</v>
      </c>
      <c r="E146" s="54" t="s">
        <v>21</v>
      </c>
      <c r="F146" s="54" t="s">
        <v>24</v>
      </c>
      <c r="G146" s="54" t="s">
        <v>499</v>
      </c>
      <c r="K146" s="101" t="s">
        <v>700</v>
      </c>
      <c r="M146" s="101" t="str">
        <f t="shared" si="4"/>
        <v>Not Tracked</v>
      </c>
      <c r="O146" s="111"/>
      <c r="P146" s="110"/>
      <c r="Q146" s="108"/>
      <c r="R146" s="102" t="s">
        <v>699</v>
      </c>
      <c r="S146" s="102"/>
      <c r="T146" s="102"/>
      <c r="U146" s="115"/>
      <c r="V146" s="115"/>
      <c r="W146" s="115"/>
      <c r="X146" s="114"/>
    </row>
    <row r="147" spans="1:24" ht="39.75" customHeight="1">
      <c r="A147" s="54" t="s">
        <v>183</v>
      </c>
      <c r="B147" s="54" t="str">
        <f>_xlfn.XLOOKUP(A147,'Enrollment &amp; Retention'!$A$3:$A$14,'Enrollment &amp; Retention'!$B$3:$B$14)</f>
        <v>Enrollment Counseling Operations Coordinator</v>
      </c>
      <c r="C147" s="54" t="s">
        <v>334</v>
      </c>
      <c r="D147" s="54" t="s">
        <v>671</v>
      </c>
      <c r="E147" s="54" t="s">
        <v>21</v>
      </c>
      <c r="F147" s="54" t="s">
        <v>23</v>
      </c>
      <c r="G147" s="54" t="s">
        <v>497</v>
      </c>
      <c r="H147" s="93" t="s">
        <v>727</v>
      </c>
      <c r="I147" s="83" t="s">
        <v>728</v>
      </c>
      <c r="J147" s="84" t="s">
        <v>548</v>
      </c>
      <c r="K147" s="101" t="s">
        <v>695</v>
      </c>
      <c r="L147" s="117">
        <v>0.98</v>
      </c>
      <c r="M147" s="101" t="str">
        <f t="shared" ref="M147" si="6">IF(K147="Not Tracking","Not Tracked",IF(L147="","No Data",IF(R147="Higher is Better",IF(L147&gt;=S147,"Green",IF(L147&gt;=T147,"Yellow","Red")),IF(R147="Lower is Better",IF(L147&lt;=S147,"Green",IF(L147&lt;=T147,"Yellow","Red")),"Manual Review"))))</f>
        <v>Green</v>
      </c>
      <c r="N147" s="131" t="s">
        <v>765</v>
      </c>
      <c r="O147" s="111"/>
      <c r="P147" s="110"/>
      <c r="Q147" s="108"/>
      <c r="R147" s="102" t="s">
        <v>701</v>
      </c>
      <c r="S147" s="113">
        <v>0.95</v>
      </c>
      <c r="T147" s="113">
        <v>0.85</v>
      </c>
      <c r="U147" s="115"/>
      <c r="V147" s="115"/>
      <c r="W147" s="115"/>
      <c r="X147" s="114"/>
    </row>
    <row r="148" spans="1:24" ht="39.75" hidden="1" customHeight="1">
      <c r="A148" s="54" t="s">
        <v>183</v>
      </c>
      <c r="B148" s="54" t="str">
        <f>_xlfn.XLOOKUP(A148,'Enrollment &amp; Retention'!$A$3:$A$14,'Enrollment &amp; Retention'!$B$3:$B$14)</f>
        <v>Enrollment Counseling Operations Coordinator</v>
      </c>
      <c r="C148" s="54" t="s">
        <v>334</v>
      </c>
      <c r="D148" s="54" t="s">
        <v>672</v>
      </c>
      <c r="E148" s="54" t="s">
        <v>21</v>
      </c>
      <c r="F148" s="54" t="s">
        <v>23</v>
      </c>
      <c r="G148" s="54" t="s">
        <v>497</v>
      </c>
      <c r="K148" s="101" t="s">
        <v>700</v>
      </c>
      <c r="M148" s="101" t="str">
        <f t="shared" si="4"/>
        <v>Not Tracked</v>
      </c>
      <c r="O148" s="111"/>
      <c r="P148" s="110"/>
      <c r="Q148" s="108"/>
      <c r="R148" s="102" t="s">
        <v>699</v>
      </c>
      <c r="S148" s="102"/>
      <c r="T148" s="102"/>
      <c r="U148" s="115"/>
      <c r="V148" s="115"/>
      <c r="W148" s="115"/>
      <c r="X148" s="114"/>
    </row>
    <row r="149" spans="1:24" ht="39.75" hidden="1" customHeight="1">
      <c r="A149" s="140" t="s">
        <v>186</v>
      </c>
      <c r="B149" s="140" t="str">
        <f>_xlfn.XLOOKUP(A149,'Enrollment &amp; Retention'!$A$3:$A$14,'Enrollment &amp; Retention'!$B$3:$B$14)</f>
        <v xml:space="preserve">Enrollment Coordinator </v>
      </c>
      <c r="C149" s="140" t="s">
        <v>334</v>
      </c>
      <c r="D149" s="140" t="s">
        <v>675</v>
      </c>
      <c r="E149" s="140" t="s">
        <v>21</v>
      </c>
      <c r="F149" s="140" t="s">
        <v>23</v>
      </c>
      <c r="G149" s="140" t="s">
        <v>497</v>
      </c>
      <c r="K149" s="101" t="s">
        <v>700</v>
      </c>
      <c r="L149" s="117"/>
      <c r="M149" s="101" t="str">
        <f t="shared" si="4"/>
        <v>Not Tracked</v>
      </c>
      <c r="O149" s="111"/>
      <c r="P149" s="110"/>
      <c r="Q149" s="108"/>
      <c r="R149" s="102" t="s">
        <v>699</v>
      </c>
      <c r="S149" s="102"/>
      <c r="T149" s="102"/>
      <c r="U149" s="115"/>
      <c r="V149" s="115"/>
      <c r="W149" s="115"/>
      <c r="X149" s="114"/>
    </row>
    <row r="150" spans="1:24" ht="39.75" hidden="1" customHeight="1">
      <c r="A150" s="140" t="s">
        <v>186</v>
      </c>
      <c r="B150" s="140" t="str">
        <f>_xlfn.XLOOKUP(A150,'Enrollment &amp; Retention'!$A$3:$A$14,'Enrollment &amp; Retention'!$B$3:$B$14)</f>
        <v xml:space="preserve">Enrollment Coordinator </v>
      </c>
      <c r="C150" s="140" t="s">
        <v>334</v>
      </c>
      <c r="D150" s="140" t="s">
        <v>677</v>
      </c>
      <c r="E150" s="140" t="s">
        <v>21</v>
      </c>
      <c r="F150" s="140" t="s">
        <v>23</v>
      </c>
      <c r="G150" s="140" t="s">
        <v>497</v>
      </c>
      <c r="H150" s="93" t="s">
        <v>588</v>
      </c>
      <c r="I150" s="83" t="s">
        <v>559</v>
      </c>
      <c r="J150" s="84" t="s">
        <v>550</v>
      </c>
      <c r="K150" s="101" t="s">
        <v>700</v>
      </c>
      <c r="L150" s="117">
        <f>122/173</f>
        <v>0.7052023121387283</v>
      </c>
      <c r="M150" s="101" t="str">
        <f t="shared" si="4"/>
        <v>Not Tracked</v>
      </c>
      <c r="N150" s="131" t="s">
        <v>768</v>
      </c>
      <c r="O150" s="111"/>
      <c r="P150" s="110"/>
      <c r="Q150" s="108"/>
      <c r="R150" s="102" t="s">
        <v>699</v>
      </c>
      <c r="S150" s="102"/>
      <c r="T150" s="102"/>
      <c r="U150" s="115"/>
      <c r="V150" s="115"/>
      <c r="W150" s="115"/>
      <c r="X150" s="114"/>
    </row>
    <row r="151" spans="1:24" ht="39.75" hidden="1" customHeight="1">
      <c r="A151" s="54" t="s">
        <v>186</v>
      </c>
      <c r="B151" s="54" t="str">
        <f>_xlfn.XLOOKUP(A151,'Enrollment &amp; Retention'!$A$3:$A$14,'Enrollment &amp; Retention'!$B$3:$B$14)</f>
        <v xml:space="preserve">Enrollment Coordinator </v>
      </c>
      <c r="C151" s="54" t="s">
        <v>334</v>
      </c>
      <c r="D151" s="54" t="s">
        <v>769</v>
      </c>
      <c r="E151" s="54" t="s">
        <v>21</v>
      </c>
      <c r="F151" s="54" t="s">
        <v>24</v>
      </c>
      <c r="G151" s="54" t="s">
        <v>497</v>
      </c>
      <c r="K151" s="101" t="s">
        <v>700</v>
      </c>
      <c r="M151" s="101" t="str">
        <f t="shared" si="4"/>
        <v>Not Tracked</v>
      </c>
      <c r="O151" s="111"/>
      <c r="P151" s="110"/>
      <c r="Q151" s="108"/>
      <c r="R151" s="102" t="s">
        <v>699</v>
      </c>
      <c r="S151" s="102"/>
      <c r="T151" s="102"/>
      <c r="U151" s="115"/>
      <c r="V151" s="115"/>
      <c r="W151" s="115"/>
      <c r="X151" s="114"/>
    </row>
    <row r="152" spans="1:24" ht="39.75" hidden="1" customHeight="1">
      <c r="A152" s="140" t="s">
        <v>191</v>
      </c>
      <c r="B152" s="140" t="str">
        <f>_xlfn.XLOOKUP(A152,'Enrollment &amp; Retention'!$A$3:$A$14,'Enrollment &amp; Retention'!$B$3:$B$14)</f>
        <v xml:space="preserve">Enrollment Services Specialist </v>
      </c>
      <c r="C152" s="140" t="s">
        <v>334</v>
      </c>
      <c r="D152" s="140" t="s">
        <v>680</v>
      </c>
      <c r="E152" s="140" t="s">
        <v>21</v>
      </c>
      <c r="F152" s="140" t="s">
        <v>23</v>
      </c>
      <c r="G152" s="140" t="s">
        <v>497</v>
      </c>
      <c r="K152" s="101" t="s">
        <v>700</v>
      </c>
      <c r="M152" s="101" t="str">
        <f t="shared" si="4"/>
        <v>Not Tracked</v>
      </c>
      <c r="O152" s="111"/>
      <c r="P152" s="110"/>
      <c r="Q152" s="108"/>
      <c r="R152" s="102" t="s">
        <v>699</v>
      </c>
      <c r="S152" s="102"/>
      <c r="T152" s="102"/>
      <c r="U152" s="115"/>
      <c r="V152" s="115"/>
      <c r="W152" s="115"/>
      <c r="X152" s="114"/>
    </row>
    <row r="153" spans="1:24" ht="39.75" hidden="1" customHeight="1">
      <c r="A153" s="54" t="s">
        <v>191</v>
      </c>
      <c r="B153" s="54" t="str">
        <f>_xlfn.XLOOKUP(A153,'Enrollment &amp; Retention'!$A$3:$A$14,'Enrollment &amp; Retention'!$B$3:$B$14)</f>
        <v xml:space="preserve">Enrollment Services Specialist </v>
      </c>
      <c r="C153" s="54" t="s">
        <v>334</v>
      </c>
      <c r="D153" s="54" t="s">
        <v>681</v>
      </c>
      <c r="E153" s="54" t="s">
        <v>21</v>
      </c>
      <c r="F153" s="54" t="s">
        <v>23</v>
      </c>
      <c r="G153" s="54" t="s">
        <v>497</v>
      </c>
      <c r="K153" s="101" t="s">
        <v>700</v>
      </c>
      <c r="M153" s="101" t="str">
        <f t="shared" si="4"/>
        <v>Not Tracked</v>
      </c>
      <c r="O153" s="111"/>
      <c r="P153" s="110"/>
      <c r="Q153" s="108"/>
      <c r="R153" s="102" t="s">
        <v>699</v>
      </c>
      <c r="S153" s="102"/>
      <c r="T153" s="102"/>
      <c r="U153" s="115"/>
      <c r="V153" s="115"/>
      <c r="W153" s="115"/>
      <c r="X153" s="114"/>
    </row>
    <row r="154" spans="1:24" ht="39.75" hidden="1" customHeight="1">
      <c r="A154" s="54" t="s">
        <v>191</v>
      </c>
      <c r="B154" s="54" t="str">
        <f>_xlfn.XLOOKUP(A154,'Enrollment &amp; Retention'!$A$3:$A$14,'Enrollment &amp; Retention'!$B$3:$B$14)</f>
        <v xml:space="preserve">Enrollment Services Specialist </v>
      </c>
      <c r="C154" s="54" t="s">
        <v>334</v>
      </c>
      <c r="D154" s="54" t="s">
        <v>770</v>
      </c>
      <c r="E154" s="54" t="s">
        <v>21</v>
      </c>
      <c r="F154" s="54" t="s">
        <v>24</v>
      </c>
      <c r="G154" s="54" t="s">
        <v>497</v>
      </c>
      <c r="K154" s="101" t="s">
        <v>700</v>
      </c>
      <c r="M154" s="101" t="str">
        <f t="shared" si="4"/>
        <v>Not Tracked</v>
      </c>
      <c r="O154" s="111"/>
      <c r="P154" s="110"/>
      <c r="Q154" s="108"/>
      <c r="R154" s="102" t="s">
        <v>699</v>
      </c>
      <c r="S154" s="102"/>
      <c r="T154" s="102"/>
      <c r="U154" s="115"/>
      <c r="V154" s="115"/>
      <c r="W154" s="115"/>
      <c r="X154" s="114"/>
    </row>
    <row r="155" spans="1:24" ht="39.75" hidden="1" customHeight="1">
      <c r="A155" s="140" t="s">
        <v>191</v>
      </c>
      <c r="B155" s="140" t="str">
        <f>_xlfn.XLOOKUP(A155,'Enrollment &amp; Retention'!$A$3:$A$14,'Enrollment &amp; Retention'!$B$3:$B$14)</f>
        <v xml:space="preserve">Enrollment Services Specialist </v>
      </c>
      <c r="C155" s="140" t="s">
        <v>334</v>
      </c>
      <c r="D155" s="140" t="s">
        <v>683</v>
      </c>
      <c r="E155" s="140" t="s">
        <v>21</v>
      </c>
      <c r="F155" s="140" t="s">
        <v>24</v>
      </c>
      <c r="G155" s="140" t="s">
        <v>497</v>
      </c>
      <c r="H155" s="93" t="s">
        <v>588</v>
      </c>
      <c r="I155" s="83" t="s">
        <v>559</v>
      </c>
      <c r="J155" s="84" t="s">
        <v>550</v>
      </c>
      <c r="K155" s="101" t="s">
        <v>700</v>
      </c>
      <c r="L155" s="117">
        <f>274/317</f>
        <v>0.86435331230283907</v>
      </c>
      <c r="M155" s="101" t="str">
        <f t="shared" si="4"/>
        <v>Not Tracked</v>
      </c>
      <c r="N155" s="131" t="s">
        <v>768</v>
      </c>
      <c r="O155" s="111"/>
      <c r="P155" s="110"/>
      <c r="Q155" s="108"/>
      <c r="R155" s="102" t="s">
        <v>699</v>
      </c>
      <c r="S155" s="102"/>
      <c r="T155" s="102"/>
      <c r="U155" s="115"/>
      <c r="V155" s="115"/>
      <c r="W155" s="115"/>
      <c r="X155" s="114"/>
    </row>
  </sheetData>
  <autoFilter ref="A2:P155" xr:uid="{FB3C7D88-B263-4B3A-BCB2-A7B49C91D90B}">
    <filterColumn colId="7" showButton="0"/>
    <filterColumn colId="8" showButton="0"/>
    <filterColumn colId="10">
      <filters>
        <filter val="Tracking"/>
      </filters>
    </filterColumn>
    <sortState xmlns:xlrd2="http://schemas.microsoft.com/office/spreadsheetml/2017/richdata2" ref="A3:P155">
      <sortCondition ref="L2:L155"/>
    </sortState>
  </autoFilter>
  <mergeCells count="4">
    <mergeCell ref="H2:J2"/>
    <mergeCell ref="R1:T1"/>
    <mergeCell ref="A1:H1"/>
    <mergeCell ref="U2:X2"/>
  </mergeCells>
  <conditionalFormatting sqref="M3:M155">
    <cfRule type="cellIs" dxfId="7" priority="8" operator="equal">
      <formula>"Green"</formula>
    </cfRule>
  </conditionalFormatting>
  <conditionalFormatting sqref="M3:M155">
    <cfRule type="cellIs" dxfId="6" priority="7" operator="equal">
      <formula>"Yellow"</formula>
    </cfRule>
  </conditionalFormatting>
  <conditionalFormatting sqref="M3:M155">
    <cfRule type="cellIs" dxfId="5" priority="6" operator="equal">
      <formula>"Red"</formula>
    </cfRule>
  </conditionalFormatting>
  <conditionalFormatting sqref="K3:K155">
    <cfRule type="cellIs" dxfId="4" priority="5" operator="equal">
      <formula>"Tracking"</formula>
    </cfRule>
  </conditionalFormatting>
  <conditionalFormatting sqref="K3:K155">
    <cfRule type="cellIs" dxfId="3" priority="4" operator="equal">
      <formula>"Pending Review"</formula>
    </cfRule>
  </conditionalFormatting>
  <conditionalFormatting sqref="K3:K155">
    <cfRule type="cellIs" dxfId="2" priority="3" operator="equal">
      <formula>"Not Tracking"</formula>
    </cfRule>
  </conditionalFormatting>
  <conditionalFormatting sqref="M3:M155">
    <cfRule type="cellIs" dxfId="1" priority="2" operator="equal">
      <formula>"No Data"</formula>
    </cfRule>
  </conditionalFormatting>
  <conditionalFormatting sqref="M3:M155">
    <cfRule type="cellIs" dxfId="0" priority="1" operator="equal">
      <formula>"Not Tracked"</formula>
    </cfRule>
  </conditionalFormatting>
  <dataValidations count="6">
    <dataValidation type="list" allowBlank="1" showInputMessage="1" showErrorMessage="1" sqref="G2 G8:G9 G104:G1048576 R3:R155" xr:uid="{AEAA9858-6CC5-46F8-9DE6-E81906AAB66C}">
      <formula1>$U$3:$U$5</formula1>
    </dataValidation>
    <dataValidation type="list" allowBlank="1" showInputMessage="1" showErrorMessage="1" sqref="O3:O155" xr:uid="{7B847FBB-E381-4350-94EC-877A9E88DACC}">
      <formula1>$V$3:$V$7</formula1>
    </dataValidation>
    <dataValidation type="list" allowBlank="1" showInputMessage="1" showErrorMessage="1" sqref="G26:G103 G3:G23" xr:uid="{F0643792-0236-4A28-87F7-2E9697F2AD50}">
      <formula1>$W$3:$W$5</formula1>
    </dataValidation>
    <dataValidation type="list" allowBlank="1" showInputMessage="1" showErrorMessage="1" sqref="F2:F1048576 G24:G25" xr:uid="{2D4E1FBC-2650-45C0-987F-FD4677ACC31A}">
      <formula1>"Cost, Quality, Speed, Autonomy, Satisfaction, Completion"</formula1>
    </dataValidation>
    <dataValidation type="list" allowBlank="1" showInputMessage="1" showErrorMessage="1" sqref="E3:E1048576" xr:uid="{77F2AD27-652B-4483-8300-AD25E072BB21}">
      <formula1>"Operational Outcomes, Student Outcomes"</formula1>
    </dataValidation>
    <dataValidation type="list" allowBlank="1" showInputMessage="1" showErrorMessage="1" sqref="K3:K155" xr:uid="{D65DAE3B-D5C4-4977-9625-FFFA31A18D7D}">
      <formula1>$X$3:$X$5</formula1>
    </dataValidation>
  </dataValidations>
  <hyperlinks>
    <hyperlink ref="N7" r:id="rId1" display="https://app.powerbi.com/Redirect?action=OpenReport&amp;appId=d4fe7f49-1b93-41aa-9e7d-6ee6d5ec3eb0&amp;reportObjectId=58eb3239-b972-4ee8-8645-fcf195f36c96&amp;ctid=61e6eeb3-5fd7-4aaa-ae3c-61e8deb09b79&amp;reportPage=02d230574060475bc0e4&amp;pbi_source=appShareLink&amp;portalSessionId=90e3d628-0853-431e-a924-80acd7dbd750" xr:uid="{6BDBD271-3CFE-4F58-B3F5-00B3470B86AB}"/>
    <hyperlink ref="N35" r:id="rId2" display="https://app.powerbi.com/Redirect?action=OpenReport&amp;appId=d4fe7f49-1b93-41aa-9e7d-6ee6d5ec3eb0&amp;reportObjectId=58eb3239-b972-4ee8-8645-fcf195f36c96&amp;ctid=61e6eeb3-5fd7-4aaa-ae3c-61e8deb09b79&amp;reportPage=02d230574060475bc0e4&amp;pbi_source=appShareLink&amp;portalSessionId=90e3d628-0853-431e-a924-80acd7dbd750" xr:uid="{5D19068D-9D36-4409-8431-3805775F6E3B}"/>
    <hyperlink ref="N126" r:id="rId3" display="https://app.powerbi.com/Redirect?action=OpenReport&amp;appId=d4fe7f49-1b93-41aa-9e7d-6ee6d5ec3eb0&amp;reportObjectId=58eb3239-b972-4ee8-8645-fcf195f36c96&amp;ctid=61e6eeb3-5fd7-4aaa-ae3c-61e8deb09b79&amp;reportPage=02d230574060475bc0e4&amp;pbi_source=appShareLink&amp;portalSessionId=90e3d628-0853-431e-a924-80acd7dbd750" xr:uid="{1E3A6D3E-2B9A-4B23-A08F-1B2C19A9954D}"/>
    <hyperlink ref="N67" r:id="rId4" xr:uid="{80AE6807-76C4-4E41-9BC6-A9D593241078}"/>
    <hyperlink ref="N70" r:id="rId5" xr:uid="{8AFF02B4-3369-43F4-A917-6BF75F4CF016}"/>
    <hyperlink ref="N94" r:id="rId6" xr:uid="{A9CB827B-D8B4-4BE4-99C1-D28883D06585}"/>
    <hyperlink ref="N71" r:id="rId7" xr:uid="{8ADCADC4-8F24-4209-B61F-9BFF8C315B6E}"/>
    <hyperlink ref="N95" r:id="rId8" xr:uid="{F340D1B7-EB3A-4594-9B5F-926427F3C180}"/>
    <hyperlink ref="N85" r:id="rId9" xr:uid="{1FA39262-A9CE-44EA-9604-3B362CE40F5E}"/>
    <hyperlink ref="N86" r:id="rId10" xr:uid="{968C6481-9359-45FE-B2A3-C53301AB2102}"/>
    <hyperlink ref="N84" r:id="rId11" xr:uid="{881A14D4-4903-453F-83FE-C66745F9372C}"/>
    <hyperlink ref="N76" r:id="rId12" xr:uid="{B0067EE1-5527-476B-9222-A875B7C77A56}"/>
    <hyperlink ref="N78" r:id="rId13" xr:uid="{3CB6CD1A-04CE-4745-8E67-7D70E259CEAA}"/>
    <hyperlink ref="N79" r:id="rId14" xr:uid="{3F62DD92-41AB-4266-882F-92FE5B302FC2}"/>
    <hyperlink ref="N99" r:id="rId15" display="https://app.powerbi.com/Redirect?action=OpenReport&amp;appId=d4fe7f49-1b93-41aa-9e7d-6ee6d5ec3eb0&amp;reportObjectId=be2cacf8-fa52-4ce4-abf5-f9ee28fa66a6&amp;ctid=61e6eeb3-5fd7-4aaa-ae3c-61e8deb09b79&amp;reportPage=90333e1e71861247c683&amp;pbi_source=appShareLink&amp;portalSessionId=78f4edc2-9814-43bc-bc67-b03ff6a08911" xr:uid="{8376C1DC-6548-4136-844D-08E2623F0262}"/>
    <hyperlink ref="N100" r:id="rId16" display="https://app.powerbi.com/Redirect?action=OpenReport&amp;appId=d4fe7f49-1b93-41aa-9e7d-6ee6d5ec3eb0&amp;reportObjectId=58eb3239-b972-4ee8-8645-fcf195f36c96&amp;ctid=61e6eeb3-5fd7-4aaa-ae3c-61e8deb09b79&amp;reportPage=02d230574060475bc0e4&amp;pbi_source=appShareLink&amp;portalSessionId=78f4edc2-9814-43bc-bc67-b03ff6a08911" xr:uid="{3964EBAF-2361-47F6-9F7C-ABA76BA9051D}"/>
    <hyperlink ref="N101" r:id="rId17" display="https://app.powerbi.com/Redirect?action=OpenReport&amp;appId=d4fe7f49-1b93-41aa-9e7d-6ee6d5ec3eb0&amp;reportObjectId=27ea7bdf-aa28-4e92-98c9-89ecc9455740&amp;ctid=61e6eeb3-5fd7-4aaa-ae3c-61e8deb09b79&amp;reportPage=f2a14ebbd5968172a5bb&amp;pbi_source=appShareLink&amp;portalSessionId=78f4edc2-9814-43bc-bc67-b03ff6a08911" xr:uid="{7B4F4380-A2D6-4D2F-96F5-1E2960AB510E}"/>
    <hyperlink ref="N102" r:id="rId18" display="https://app.powerbi.com/Redirect?action=OpenReport&amp;appId=d4fe7f49-1b93-41aa-9e7d-6ee6d5ec3eb0&amp;reportObjectId=4679386d-8e13-43fa-9be7-6c5c504ce07a&amp;ctid=61e6eeb3-5fd7-4aaa-ae3c-61e8deb09b79&amp;reportPage=004a8c4d49c762e03b5d&amp;pbi_source=appShareLink&amp;portalSessionId=78f4edc2-9814-43bc-bc67-b03ff6a08911" xr:uid="{CF149C8C-F6AB-4961-A011-6424DC617A39}"/>
    <hyperlink ref="N103" r:id="rId19" display="https://app.powerbi.com/Redirect?action=OpenReport&amp;appId=d4fe7f49-1b93-41aa-9e7d-6ee6d5ec3eb0&amp;reportObjectId=4679386d-8e13-43fa-9be7-6c5c504ce07a&amp;ctid=61e6eeb3-5fd7-4aaa-ae3c-61e8deb09b79&amp;reportPage=004a8c4d49c762e03b5d&amp;pbi_source=appShareLink&amp;portalSessionId=78f4edc2-9814-43bc-bc67-b03ff6a08911" xr:uid="{D68262A3-FE40-4AD5-AB7A-6482BA536357}"/>
    <hyperlink ref="N105" r:id="rId20" xr:uid="{A026D95B-DE2D-489A-99E9-42F4AB11D0A1}"/>
    <hyperlink ref="N106" r:id="rId21" xr:uid="{B4FC95DE-1507-44D1-9E20-751CCFCC1295}"/>
    <hyperlink ref="N107" r:id="rId22" xr:uid="{1F2643E4-2EDA-4DD1-8DB3-E364CE7C853E}"/>
    <hyperlink ref="N129" r:id="rId23" display="https://app.powerbi.com/Redirect?action=OpenReport&amp;appId=d4fe7f49-1b93-41aa-9e7d-6ee6d5ec3eb0&amp;reportObjectId=8b8c6aa8-361e-4ed7-8018-ac9b625ec004&amp;ctid=61e6eeb3-5fd7-4aaa-ae3c-61e8deb09b79&amp;reportPage=8dd6568b0dc02796db27&amp;pbi_source=appShareLink&amp;portalSessionId=c8279588-5339-490f-bd8a-0cbc06437598" xr:uid="{C59623B4-9AF9-447C-816E-E080C0C84F25}"/>
    <hyperlink ref="N130" r:id="rId24" display="https://app.powerbi.com/Redirect?action=OpenReport&amp;appId=d4fe7f49-1b93-41aa-9e7d-6ee6d5ec3eb0&amp;reportObjectId=cb2ce85e-73e7-4234-8d3b-dd2fc9744649&amp;ctid=61e6eeb3-5fd7-4aaa-ae3c-61e8deb09b79&amp;reportPage=404ac9b71b3c0ac70d20&amp;pbi_source=appShareLink&amp;portalSessionId=c8279588-5339-490f-bd8a-0cbc06437598" xr:uid="{F1FF0E24-F89C-4600-974B-1C5693DD3340}"/>
    <hyperlink ref="N131" r:id="rId25" display="https://app.powerbi.com/Redirect?action=OpenReport&amp;appId=d4fe7f49-1b93-41aa-9e7d-6ee6d5ec3eb0&amp;reportObjectId=e2b5b9d8-0b16-4185-9213-61b41d61c157&amp;ctid=61e6eeb3-5fd7-4aaa-ae3c-61e8deb09b79&amp;reportPage=ReportSectionf20578b2c846b75ef80e&amp;pbi_source=appShareLink&amp;portalSessionId=c8279588-5339-490f-bd8a-0cbc06437598" xr:uid="{8B2E0A7B-8B06-4875-A34A-7EFC25CEA776}"/>
    <hyperlink ref="N133" r:id="rId26" display="https://app.powerbi.com/Redirect?action=OpenReport&amp;appId=d4fe7f49-1b93-41aa-9e7d-6ee6d5ec3eb0&amp;reportObjectId=cb2ce85e-73e7-4234-8d3b-dd2fc9744649&amp;ctid=61e6eeb3-5fd7-4aaa-ae3c-61e8deb09b79&amp;reportPage=404ac9b71b3c0ac70d20&amp;pbi_source=appShareLink&amp;portalSessionId=c8279588-5339-490f-bd8a-0cbc06437598" xr:uid="{C048B4E5-32F0-469A-81E5-9700657F68E5}"/>
    <hyperlink ref="N134" r:id="rId27" display="https://app.powerbi.com/Redirect?action=OpenReport&amp;appId=d4fe7f49-1b93-41aa-9e7d-6ee6d5ec3eb0&amp;reportObjectId=e2b5b9d8-0b16-4185-9213-61b41d61c157&amp;ctid=61e6eeb3-5fd7-4aaa-ae3c-61e8deb09b79&amp;reportPage=ReportSectionf20578b2c846b75ef80e&amp;pbi_source=appShareLink&amp;portalSessionId=c8279588-5339-490f-bd8a-0cbc06437598" xr:uid="{9222FD9C-E67D-4E3B-B86E-123C12C53057}"/>
    <hyperlink ref="N135" r:id="rId28" display="https://app.powerbi.com/Redirect?action=OpenReport&amp;appId=d4fe7f49-1b93-41aa-9e7d-6ee6d5ec3eb0&amp;reportObjectId=8b8c6aa8-361e-4ed7-8018-ac9b625ec004&amp;ctid=61e6eeb3-5fd7-4aaa-ae3c-61e8deb09b79&amp;reportPage=8dd6568b0dc02796db27&amp;pbi_source=appShareLink&amp;portalSessionId=c8279588-5339-490f-bd8a-0cbc06437598" xr:uid="{C83E037F-C7C0-4776-98B5-C96D31C9E5A8}"/>
    <hyperlink ref="N136" r:id="rId29" display="https://app.powerbi.com/Redirect?action=OpenReport&amp;appId=d4fe7f49-1b93-41aa-9e7d-6ee6d5ec3eb0&amp;reportObjectId=1d513597-8eb5-4912-8692-96ff2a683a51&amp;ctid=61e6eeb3-5fd7-4aaa-ae3c-61e8deb09b79&amp;reportPage=0209ae92d2720717522a&amp;pbi_source=appShareLink&amp;portalSessionId=c8279588-5339-490f-bd8a-0cbc06437598" xr:uid="{7D7C8F79-6A58-40B1-A47E-ED3A19720205}"/>
    <hyperlink ref="N125" r:id="rId30" display="https://app.powerbi.com/Redirect?action=OpenReport&amp;appId=d4fe7f49-1b93-41aa-9e7d-6ee6d5ec3eb0&amp;reportObjectId=be2cacf8-fa52-4ce4-abf5-f9ee28fa66a6&amp;ctid=61e6eeb3-5fd7-4aaa-ae3c-61e8deb09b79&amp;reportPage=90333e1e71861247c683&amp;pbi_source=appShareLink&amp;portalSessionId=c8279588-5339-490f-bd8a-0cbc06437598" xr:uid="{8EBD37F3-4EA4-4EF5-AA2A-9CF5BB33852E}"/>
    <hyperlink ref="N127" r:id="rId31" display="https://app.powerbi.com/Redirect?action=OpenReport&amp;appId=d4fe7f49-1b93-41aa-9e7d-6ee6d5ec3eb0&amp;reportObjectId=4679386d-8e13-43fa-9be7-6c5c504ce07a&amp;ctid=61e6eeb3-5fd7-4aaa-ae3c-61e8deb09b79&amp;reportPage=004a8c4d49c762e03b5d&amp;pbi_source=appShareLink&amp;portalSessionId=c8279588-5339-490f-bd8a-0cbc06437598" xr:uid="{9F69A71F-EBD4-4A8E-AB03-35631A4D9512}"/>
    <hyperlink ref="N128" r:id="rId32" display="https://app.powerbi.com/Redirect?action=OpenReport&amp;appId=d4fe7f49-1b93-41aa-9e7d-6ee6d5ec3eb0&amp;reportObjectId=4679386d-8e13-43fa-9be7-6c5c504ce07a&amp;ctid=61e6eeb3-5fd7-4aaa-ae3c-61e8deb09b79&amp;reportPage=004a8c4d49c762e03b5d&amp;pbi_source=appShareLink&amp;portalSessionId=c8279588-5339-490f-bd8a-0cbc06437598" xr:uid="{522E2C16-AC87-4C1F-94A8-A5EA01660809}"/>
    <hyperlink ref="N139" r:id="rId33" display="https://app.powerbi.com/Redirect?action=OpenReport&amp;appId=d4fe7f49-1b93-41aa-9e7d-6ee6d5ec3eb0&amp;reportObjectId=27ea7bdf-aa28-4e92-98c9-89ecc9455740&amp;ctid=61e6eeb3-5fd7-4aaa-ae3c-61e8deb09b79&amp;reportPage=f2a14ebbd5968172a5bb&amp;pbi_source=appShareLink&amp;portalSessionId=04e4cd1a-8779-483e-a338-581068ced021" xr:uid="{E7952495-E231-432E-B297-07A9738066CD}"/>
    <hyperlink ref="N141" r:id="rId34" display="https://app.powerbi.com/Redirect?action=OpenReport&amp;appId=d4fe7f49-1b93-41aa-9e7d-6ee6d5ec3eb0&amp;reportObjectId=7177fab9-23b0-4184-8f31-f0db822282c0&amp;ctid=61e6eeb3-5fd7-4aaa-ae3c-61e8deb09b79&amp;reportPage=ReportSection964c860de430a5035bab&amp;pbi_source=appShareLink&amp;portalSessionId=04e4cd1a-8779-483e-a338-581068ced021" xr:uid="{19B10669-3F0E-40F8-9E21-D0AE6AE34EAA}"/>
    <hyperlink ref="N143" r:id="rId35" display="https://app.powerbi.com/Redirect?action=OpenReport&amp;appId=d4fe7f49-1b93-41aa-9e7d-6ee6d5ec3eb0&amp;reportObjectId=d0f58bce-3a7d-49b6-80a3-eade14ab09fc&amp;ctid=61e6eeb3-5fd7-4aaa-ae3c-61e8deb09b79&amp;reportPage=e3ff97a21eaacb03dbca&amp;pbi_source=appShareLink&amp;portalSessionId=04e4cd1a-8779-483e-a338-581068ced021" xr:uid="{F3EAD204-B2B9-4096-B1A4-37C959EB00A2}"/>
    <hyperlink ref="N145" r:id="rId36" display="https://app.powerbi.com/Redirect?action=OpenReport&amp;appId=d4fe7f49-1b93-41aa-9e7d-6ee6d5ec3eb0&amp;reportObjectId=d0f58bce-3a7d-49b6-80a3-eade14ab09fc&amp;ctid=61e6eeb3-5fd7-4aaa-ae3c-61e8deb09b79&amp;reportPage=e3ff97a21eaacb03dbca&amp;pbi_source=appShareLink&amp;portalSessionId=04e4cd1a-8779-483e-a338-581068ced021" xr:uid="{2904745A-EC7C-4F3F-A67F-129C15EBF2EB}"/>
    <hyperlink ref="N147" r:id="rId37" display="https://app.powerbi.com/Redirect?action=OpenReport&amp;appId=d4fe7f49-1b93-41aa-9e7d-6ee6d5ec3eb0&amp;reportObjectId=7177fab9-23b0-4184-8f31-f0db822282c0&amp;ctid=61e6eeb3-5fd7-4aaa-ae3c-61e8deb09b79&amp;reportPage=ReportSection964c860de430a5035bab&amp;pbi_source=appShareLink&amp;portalSessionId=04e4cd1a-8779-483e-a338-581068ced021" xr:uid="{0F7CA165-2E17-4A93-946E-F362BED30D42}"/>
    <hyperlink ref="N37" r:id="rId38" xr:uid="{E159BFF2-3982-4E32-A8B4-BBDCD4B6B074}"/>
    <hyperlink ref="N38" r:id="rId39" xr:uid="{E90D8575-1CEA-40C0-AC95-75EECDD5F6FC}"/>
    <hyperlink ref="N39" r:id="rId40" xr:uid="{264149C1-C015-431D-9FC1-418BBABF1B5A}"/>
    <hyperlink ref="N56" r:id="rId41" xr:uid="{C9258431-C238-4C47-BCE4-192652B016FA}"/>
    <hyperlink ref="N40" r:id="rId42" xr:uid="{0CEAD038-DC02-44CD-B0BE-F59E1E22AA21}"/>
    <hyperlink ref="N41" r:id="rId43" xr:uid="{4A3C2935-620B-41B9-B7D7-7BEC321EF6C2}"/>
    <hyperlink ref="N42" r:id="rId44" xr:uid="{4D614832-C9CF-4E60-8925-3CDAA31F222C}"/>
    <hyperlink ref="N43" r:id="rId45" xr:uid="{0CDF8B95-EDB3-42CD-A5DF-3C64763FAEED}"/>
    <hyperlink ref="N44" r:id="rId46" xr:uid="{EF6F6532-E953-4FE0-A148-2A871D4B7197}"/>
    <hyperlink ref="N45" r:id="rId47" xr:uid="{CE083086-A6E4-4DFB-89E0-1425E198C2DE}"/>
    <hyperlink ref="N47" r:id="rId48" xr:uid="{9435D3F6-F8A8-4043-B5AD-41E92E5397D6}"/>
    <hyperlink ref="N62" r:id="rId49" xr:uid="{F8D8A98A-098F-4E76-A577-0F461B12FD78}"/>
    <hyperlink ref="N50" r:id="rId50" xr:uid="{EEFC5935-A0B5-468A-8598-9514401ACCF1}"/>
    <hyperlink ref="N60" r:id="rId51" xr:uid="{4CE85FF0-A4EB-4211-9F8D-4DE075B3EC72}"/>
    <hyperlink ref="N61" r:id="rId52" xr:uid="{484C3216-DDDC-4E8B-9491-531FDA2142E7}"/>
    <hyperlink ref="N59" r:id="rId53" xr:uid="{47740BA4-9392-490F-8E67-DD541468F039}"/>
    <hyperlink ref="N34" r:id="rId54" xr:uid="{9822E005-D260-48A7-A302-508DF142CCE3}"/>
    <hyperlink ref="N58" r:id="rId55" xr:uid="{128121AC-BA1D-4026-B71B-D3C4C621EDB2}"/>
    <hyperlink ref="N65" r:id="rId56" xr:uid="{BDC7B702-8E8D-4361-88B1-38A4B1B454BC}"/>
    <hyperlink ref="N64" r:id="rId57" xr:uid="{19E95728-C618-4544-850A-675D13A52092}"/>
    <hyperlink ref="N3" r:id="rId58" xr:uid="{25062E86-B7F9-4DFF-821B-54D1613B775E}"/>
    <hyperlink ref="N4:N5" r:id="rId59" display="Excel link" xr:uid="{2AFCFC94-D258-4BB6-81BC-B794BDF46AF2}"/>
    <hyperlink ref="N10" r:id="rId60" xr:uid="{D296A5EF-A921-44C2-94D7-1619DDBC3374}"/>
    <hyperlink ref="N14" r:id="rId61" xr:uid="{8B59DC05-2772-4167-A916-70EF66F4471E}"/>
    <hyperlink ref="N16:N18" r:id="rId62" display="Excel link" xr:uid="{0F2CD84F-B5EB-4A41-814F-CFAFDFA93B40}"/>
    <hyperlink ref="N25:N27" r:id="rId63" display="Excel link" xr:uid="{B2C337AE-CD2D-4A5A-868A-28E1D7C8A243}"/>
    <hyperlink ref="N93" r:id="rId64" xr:uid="{85D175C0-0E9B-4C14-B69A-C0A07BE7AB24}"/>
    <hyperlink ref="N150" r:id="rId65" xr:uid="{B1614EBE-890C-4F16-806B-017D1632F117}"/>
    <hyperlink ref="N155" r:id="rId66" xr:uid="{B16E5D3F-6F12-497E-9A96-8C8E4F2E74C8}"/>
    <hyperlink ref="N87" r:id="rId67" xr:uid="{575E1360-656C-421D-88FC-AEE225EFB709}"/>
    <hyperlink ref="N88" r:id="rId68" xr:uid="{42066356-ADA2-4782-ADE5-BC965B2B3270}"/>
    <hyperlink ref="N89" r:id="rId69" xr:uid="{FD6091C7-F95D-44EA-A9AD-9AD93513F4B5}"/>
    <hyperlink ref="N91" r:id="rId70" xr:uid="{B0A311F8-8DEA-4F80-BE6F-0DE483E0D79A}"/>
    <hyperlink ref="N73" r:id="rId71" xr:uid="{95F80D3B-DC36-4E56-8790-AF91CAF63801}"/>
    <hyperlink ref="N74" r:id="rId72" xr:uid="{4B49CDB5-395C-451F-83AD-9AFE277B7787}"/>
    <hyperlink ref="N80" r:id="rId73" xr:uid="{C2DDAE39-5E47-4B80-99BA-CD33B13354A8}"/>
    <hyperlink ref="N81" r:id="rId74" xr:uid="{88A04824-E0FA-41A0-8A9E-8AAE0471EA08}"/>
    <hyperlink ref="N82" r:id="rId75" xr:uid="{694CFC97-7CC1-406F-83D2-92E106081E83}"/>
    <hyperlink ref="N83" r:id="rId76" xr:uid="{1705A963-19E9-474C-B8DE-47B4295FFA23}"/>
    <hyperlink ref="N66" r:id="rId77" xr:uid="{D7E0B374-F527-4FA2-B076-831CE7F48DC6}"/>
  </hyperlinks>
  <pageMargins left="0.7" right="0.7" top="0.75" bottom="0.75" header="0.3" footer="0.3"/>
  <legacyDrawing r:id="rId78"/>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728FB-5FE1-4A21-944A-5E73A7AED85E}">
  <dimension ref="A1:H43"/>
  <sheetViews>
    <sheetView workbookViewId="0">
      <selection activeCell="D1" sqref="D1:D42"/>
    </sheetView>
  </sheetViews>
  <sheetFormatPr defaultRowHeight="15"/>
  <cols>
    <col min="1" max="1" width="27" bestFit="1" customWidth="1"/>
    <col min="4" max="4" width="27" bestFit="1" customWidth="1"/>
  </cols>
  <sheetData>
    <row r="1" spans="1:4">
      <c r="A1" t="str" cm="1">
        <f t="array" ref="A1:A43">_xlfn.UNIQUE('KPI ScoreCard'!A3:A155)</f>
        <v>Steven K. Thomas</v>
      </c>
      <c r="D1" t="s">
        <v>139</v>
      </c>
    </row>
    <row r="2" spans="1:4">
      <c r="A2">
        <v>0</v>
      </c>
      <c r="D2" t="s">
        <v>145</v>
      </c>
    </row>
    <row r="3" spans="1:4">
      <c r="A3" t="str">
        <v>Anne Marie Clark</v>
      </c>
      <c r="D3" t="s">
        <v>213</v>
      </c>
    </row>
    <row r="4" spans="1:4">
      <c r="A4" t="str">
        <v>Katelyn Ray</v>
      </c>
      <c r="D4" t="s">
        <v>75</v>
      </c>
    </row>
    <row r="5" spans="1:4">
      <c r="A5" t="str">
        <v>Sandra Wurttele</v>
      </c>
      <c r="D5" t="s">
        <v>255</v>
      </c>
    </row>
    <row r="6" spans="1:4">
      <c r="A6" t="str">
        <v>Ana De Castro</v>
      </c>
      <c r="D6" t="s">
        <v>260</v>
      </c>
    </row>
    <row r="7" spans="1:4">
      <c r="A7" t="str">
        <v>Helen Reboucas</v>
      </c>
      <c r="D7" t="s">
        <v>65</v>
      </c>
    </row>
    <row r="8" spans="1:4">
      <c r="A8" t="str">
        <v>Joseph Bentum</v>
      </c>
      <c r="D8" t="s">
        <v>208</v>
      </c>
    </row>
    <row r="9" spans="1:4">
      <c r="A9" t="str">
        <v>Mark Gefrom</v>
      </c>
      <c r="D9" t="s">
        <v>265</v>
      </c>
    </row>
    <row r="10" spans="1:4">
      <c r="A10" t="str">
        <v>Brad Lester</v>
      </c>
      <c r="D10" t="s">
        <v>235</v>
      </c>
    </row>
    <row r="11" spans="1:4">
      <c r="A11" t="str">
        <v>Alyssa Burrell</v>
      </c>
      <c r="D11" t="s">
        <v>276</v>
      </c>
    </row>
    <row r="12" spans="1:4">
      <c r="A12" t="str">
        <v>Hilary Bagley</v>
      </c>
      <c r="D12" t="s">
        <v>120</v>
      </c>
    </row>
    <row r="13" spans="1:4">
      <c r="A13" t="str">
        <v>Kira Hayes</v>
      </c>
      <c r="D13" t="s">
        <v>191</v>
      </c>
    </row>
    <row r="14" spans="1:4">
      <c r="A14" t="str">
        <v>Matthew Smith</v>
      </c>
      <c r="D14" t="s">
        <v>85</v>
      </c>
    </row>
    <row r="15" spans="1:4">
      <c r="A15" t="str">
        <v>Colby Warner</v>
      </c>
      <c r="D15" t="s">
        <v>218</v>
      </c>
    </row>
    <row r="16" spans="1:4">
      <c r="A16" t="str">
        <v>Kari Johnson</v>
      </c>
      <c r="D16" t="s">
        <v>97</v>
      </c>
    </row>
    <row r="17" spans="1:8">
      <c r="A17" t="str">
        <v>Kim Overdiek</v>
      </c>
      <c r="D17" t="s">
        <v>166</v>
      </c>
      <c r="H17" s="132" t="s">
        <v>771</v>
      </c>
    </row>
    <row r="18" spans="1:8">
      <c r="A18" t="str">
        <v>Tyson Bell</v>
      </c>
      <c r="D18" t="s">
        <v>131</v>
      </c>
    </row>
    <row r="19" spans="1:8">
      <c r="A19" t="str">
        <v>Angie Holt</v>
      </c>
      <c r="D19" t="s">
        <v>90</v>
      </c>
    </row>
    <row r="20" spans="1:8">
      <c r="A20" t="str">
        <v>Anne E. Owen</v>
      </c>
      <c r="D20" t="s">
        <v>114</v>
      </c>
    </row>
    <row r="21" spans="1:8">
      <c r="A21" t="str">
        <v>Cindi C Putnam</v>
      </c>
      <c r="D21" t="s">
        <v>240</v>
      </c>
    </row>
    <row r="22" spans="1:8">
      <c r="A22" t="str">
        <v>Nikki Jane Chambers</v>
      </c>
      <c r="D22" t="s">
        <v>751</v>
      </c>
    </row>
    <row r="23" spans="1:8">
      <c r="A23" t="str">
        <v>Daniel Zago</v>
      </c>
      <c r="D23" t="s">
        <v>70</v>
      </c>
    </row>
    <row r="24" spans="1:8">
      <c r="A24" t="str">
        <v>Jacob Adams</v>
      </c>
      <c r="D24" t="s">
        <v>154</v>
      </c>
    </row>
    <row r="25" spans="1:8">
      <c r="A25" t="str">
        <v>Ricky Kailiponi Jr.</v>
      </c>
      <c r="D25" t="s">
        <v>246</v>
      </c>
    </row>
    <row r="26" spans="1:8">
      <c r="A26" t="str">
        <v>Joshua Stafford Hadden</v>
      </c>
      <c r="D26" t="s">
        <v>180</v>
      </c>
    </row>
    <row r="27" spans="1:8">
      <c r="A27" t="str">
        <v>David Peck</v>
      </c>
      <c r="D27" t="s">
        <v>224</v>
      </c>
    </row>
    <row r="28" spans="1:8">
      <c r="A28" t="str">
        <v>Pelenatita Neiufi</v>
      </c>
      <c r="D28" t="s">
        <v>161</v>
      </c>
    </row>
    <row r="29" spans="1:8">
      <c r="A29" t="str">
        <v>Victor Lamôni Calado Ferreira</v>
      </c>
      <c r="D29" t="s">
        <v>201</v>
      </c>
    </row>
    <row r="30" spans="1:8">
      <c r="A30" t="str">
        <v>John Ayinde</v>
      </c>
      <c r="D30" t="s">
        <v>229</v>
      </c>
    </row>
    <row r="31" spans="1:8">
      <c r="A31" t="str">
        <v>Samuel Riveros</v>
      </c>
      <c r="D31" t="s">
        <v>183</v>
      </c>
    </row>
    <row r="32" spans="1:8">
      <c r="A32" t="str">
        <v xml:space="preserve">Aitana Toscano </v>
      </c>
      <c r="D32" t="s">
        <v>270</v>
      </c>
    </row>
    <row r="33" spans="1:4">
      <c r="A33" t="str">
        <v>Alison Cundiff</v>
      </c>
      <c r="D33" t="s">
        <v>125</v>
      </c>
    </row>
    <row r="34" spans="1:4">
      <c r="A34" t="str">
        <v xml:space="preserve">Katelyn Graf </v>
      </c>
      <c r="D34" t="s">
        <v>175</v>
      </c>
    </row>
    <row r="35" spans="1:4">
      <c r="A35" t="str">
        <v>Kelley Richardson</v>
      </c>
      <c r="D35" t="s">
        <v>105</v>
      </c>
    </row>
    <row r="36" spans="1:4">
      <c r="A36" t="str">
        <v>Mandy Schwab</v>
      </c>
      <c r="D36" t="s">
        <v>136</v>
      </c>
    </row>
    <row r="37" spans="1:4">
      <c r="A37" t="str">
        <v>Joanna Relkin </v>
      </c>
      <c r="D37" t="s">
        <v>79</v>
      </c>
    </row>
    <row r="38" spans="1:4">
      <c r="A38" t="str">
        <v>Trevor Shelton</v>
      </c>
      <c r="D38" t="s">
        <v>186</v>
      </c>
    </row>
    <row r="39" spans="1:4">
      <c r="A39" t="str">
        <v>Rachel Kirk</v>
      </c>
      <c r="D39" t="s">
        <v>58</v>
      </c>
    </row>
    <row r="40" spans="1:4">
      <c r="A40" t="str">
        <v>Kimarie Howard</v>
      </c>
      <c r="D40" t="s">
        <v>170</v>
      </c>
    </row>
    <row r="41" spans="1:4">
      <c r="A41" t="str">
        <v>Megan Niblett </v>
      </c>
      <c r="D41" t="s">
        <v>251</v>
      </c>
    </row>
    <row r="42" spans="1:4">
      <c r="A42" t="str">
        <v>Shaunasee Janette James</v>
      </c>
      <c r="D42" t="s">
        <v>128</v>
      </c>
    </row>
    <row r="43" spans="1:4">
      <c r="A43" t="str">
        <v>Ely Zmolek</v>
      </c>
    </row>
  </sheetData>
  <sortState xmlns:xlrd2="http://schemas.microsoft.com/office/spreadsheetml/2017/richdata2" ref="D1:D42">
    <sortCondition ref="D1:D42"/>
  </sortState>
  <hyperlinks>
    <hyperlink ref="H17" r:id="rId1" display="https://app.powerbi.com/groups/me/apps/edf61692-3af5-4aba-af7e-ef1de76ce451/reports/7f263ef8-0c4e-4dbd-8c84-2d5d029a1085/e5ac827acf52df1bdc6a?ctid=61e6eeb3-5fd7-4aaa-ae3c-61e8deb09b79&amp;experience=power-bi / https://app.powerbi.com/groups/me/apps/edf61692-3af5-4aba-af7e-ef1de76ce451/reports/7f263ef8-0c4e-4dbd-8c84-2d5d029a1085/185501d1d1107d800e43?ctid=61e6eeb3-5fd7-4aaa-ae3c-61e8deb09b79&amp;experience=power-bi" xr:uid="{CEAE5350-5DFC-4A1B-B065-C4A61789652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CE9E2A69C8C34479337E79D1ABCFE4C" ma:contentTypeVersion="3" ma:contentTypeDescription="Create a new document." ma:contentTypeScope="" ma:versionID="a417e9753e3d792863aced1e64ec9d6f">
  <xsd:schema xmlns:xsd="http://www.w3.org/2001/XMLSchema" xmlns:xs="http://www.w3.org/2001/XMLSchema" xmlns:p="http://schemas.microsoft.com/office/2006/metadata/properties" xmlns:ns2="5c318fe3-1931-4a10-b459-587509ca3691" targetNamespace="http://schemas.microsoft.com/office/2006/metadata/properties" ma:root="true" ma:fieldsID="101cf928b368353fd0d05ae049518a79" ns2:_="">
    <xsd:import namespace="5c318fe3-1931-4a10-b459-587509ca369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318fe3-1931-4a10-b459-587509ca36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B7A6E79-94EE-467C-90E5-55C6D800CFF3}"/>
</file>

<file path=customXml/itemProps2.xml><?xml version="1.0" encoding="utf-8"?>
<ds:datastoreItem xmlns:ds="http://schemas.openxmlformats.org/officeDocument/2006/customXml" ds:itemID="{ADD30DD7-8A22-40CD-B974-119C5BDFE5E8}"/>
</file>

<file path=customXml/itemProps3.xml><?xml version="1.0" encoding="utf-8"?>
<ds:datastoreItem xmlns:ds="http://schemas.openxmlformats.org/officeDocument/2006/customXml" ds:itemID="{9BDAACBA-55DD-45DF-9156-47B61DF2AB47}"/>
</file>

<file path=docMetadata/LabelInfo.xml><?xml version="1.0" encoding="utf-8"?>
<clbl:labelList xmlns:clbl="http://schemas.microsoft.com/office/2020/mipLabelMetadata">
  <clbl:label id="{03ef5274-90b8-4b3f-8a76-b4c36a43e904}" enabled="1" method="Privileged" siteId="{61e6eeb3-5fd7-4aaa-ae3c-61e8deb09b79}"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2025-11-05T13:26:28Z</dcterms:created>
  <dcterms:modified xsi:type="dcterms:W3CDTF">2026-08-03T23:16:13Z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0x0101003CE9E2A69C8C34479337E79D1ABCFE4C</vt:lpwstr>
  </property>
</Properties>
</file>