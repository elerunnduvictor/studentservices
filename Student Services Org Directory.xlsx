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6EB67D6F-2026-49F8-9989-6450A86FD8BE}" xr6:coauthVersionLast="47" xr6:coauthVersionMax="47" xr10:uidLastSave="{00000000-0000-0000-0000-000000000000}"/>
  <bookViews>
    <workbookView xWindow="0" yWindow="0" windowWidth="0" windowHeight="0" xr2:uid="{00000000-000D-0000-FFFF-FFFF00000000}"/>
  </bookViews>
  <sheets>
    <sheet name="DAshboard" sheetId="11" r:id="rId1"/>
    <sheet name="Employee Directory" sheetId="6" r:id="rId2"/>
    <sheet name="Digital Operations" sheetId="7" r:id="rId3"/>
    <sheet name="Dean of Students" sheetId="8" r:id="rId4"/>
    <sheet name="Enrollment &amp; Retention" sheetId="10" r:id="rId5"/>
    <sheet name="Records Registration &amp; Support" sheetId="9" r:id="rId6"/>
    <sheet name="Control" sheetId="12" r:id="rId7"/>
    <sheet name="Org Chart Info" sheetId="15" r:id="rId8"/>
  </sheets>
  <definedNames>
    <definedName name="_xlnm._FilterDatabase" localSheetId="0" hidden="1">DAshboard!$O$3:$R$3</definedName>
    <definedName name="_xlnm._FilterDatabase" localSheetId="4" hidden="1">'Enrollment &amp; Retention'!$B$4:$F$4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c r="E16" i="11"/>
  <c r="N42" i="15"/>
  <c r="O4" i="11" a="1"/>
  <c r="O4" i="11"/>
  <c r="E17" i="11"/>
  <c r="E14" i="11"/>
  <c r="E13" i="11"/>
  <c r="E12" i="11"/>
  <c r="E18" i="11" s="1"/>
  <c r="B5" i="9" a="1"/>
  <c r="B5" i="9"/>
  <c r="B5" i="10" a="1"/>
  <c r="B5" i="10"/>
  <c r="B5" i="7" a="1"/>
  <c r="B5" i="7"/>
  <c r="B5" i="8" a="1"/>
  <c r="B5" i="8"/>
  <c r="M25" i="12" a="1"/>
  <c r="M25" i="12"/>
  <c r="H3" i="12" a="1"/>
  <c r="H3" i="12"/>
  <c r="J13"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<sst xmlns="http://schemas.openxmlformats.org/spreadsheetml/2006/main" count="1832" uniqueCount="635">
  <si>
    <t>Employees In The Department</t>
  </si>
  <si>
    <t>Number of Employees by Departments</t>
  </si>
  <si>
    <t>NAME</t>
  </si>
  <si>
    <t>ROLE</t>
  </si>
  <si>
    <t>PRIMARY STAKEHOLDER</t>
  </si>
  <si>
    <t>EMPL TYPE</t>
  </si>
  <si>
    <t>Select Department</t>
  </si>
  <si>
    <t>Dean of Students</t>
  </si>
  <si>
    <t>Select Sub Dept</t>
  </si>
  <si>
    <t>All</t>
  </si>
  <si>
    <t>Employee Type</t>
  </si>
  <si>
    <t># Employees</t>
  </si>
  <si>
    <t xml:space="preserve">Full-Time </t>
  </si>
  <si>
    <t>Total Number of Employees</t>
  </si>
  <si>
    <t>Full-Time Temporary</t>
  </si>
  <si>
    <t>Part-Time Temporary</t>
  </si>
  <si>
    <t>Student Employee</t>
  </si>
  <si>
    <t>Professional Contractor</t>
  </si>
  <si>
    <t>Student Contractor</t>
  </si>
  <si>
    <t>Total</t>
  </si>
  <si>
    <t>EMPLOYEE DIRECTORY</t>
  </si>
  <si>
    <t xml:space="preserve">Employment classification for all Student Services personnel. </t>
  </si>
  <si>
    <t>LEGEND:</t>
  </si>
  <si>
    <t xml:space="preserve">  Full-Time Employee  </t>
  </si>
  <si>
    <t xml:space="preserve">  Full-Time Temporary  </t>
  </si>
  <si>
    <t xml:space="preserve">  Part-Time Temporary  </t>
  </si>
  <si>
    <t>#</t>
  </si>
  <si>
    <t>DEPARTMENT</t>
  </si>
  <si>
    <t>EMPLOYMENT TYPE</t>
  </si>
  <si>
    <t>SUB DEPT</t>
  </si>
  <si>
    <t>CONTRACT ORGANIZATION</t>
  </si>
  <si>
    <t>Tier Type</t>
  </si>
  <si>
    <t>Dept</t>
  </si>
  <si>
    <t>Number of Student Contractors</t>
  </si>
  <si>
    <t>EMPLOYEE NAME</t>
  </si>
  <si>
    <t>JOB NAME</t>
  </si>
  <si>
    <t>Role Title</t>
  </si>
  <si>
    <t>Sub-Dept</t>
  </si>
  <si>
    <t xml:space="preserve">Supervisor </t>
  </si>
  <si>
    <t>Gisele Loisotto</t>
  </si>
  <si>
    <t>Dean of Students Office Specialist</t>
  </si>
  <si>
    <t>Sandra Wurttele</t>
  </si>
  <si>
    <t>Accessibility Office</t>
  </si>
  <si>
    <t xml:space="preserve">Springboard </t>
  </si>
  <si>
    <t>Abish Arroyo Avila</t>
  </si>
  <si>
    <t>Transfer Evaluation Agent</t>
  </si>
  <si>
    <t>Transfer Evaluation</t>
  </si>
  <si>
    <t>Shaunasee James</t>
  </si>
  <si>
    <t>Enrollment &amp; Retention</t>
  </si>
  <si>
    <t xml:space="preserve">Sandra Wurttele </t>
  </si>
  <si>
    <t xml:space="preserve">Accessibility Office Coordinator </t>
  </si>
  <si>
    <t>Anne Marie Clark</t>
  </si>
  <si>
    <t>Department Leadership</t>
  </si>
  <si>
    <t>Velocity Global - EOR</t>
  </si>
  <si>
    <t>EOR</t>
  </si>
  <si>
    <t>Digital Operations</t>
  </si>
  <si>
    <t>Abraham Osorio</t>
  </si>
  <si>
    <t>Planning Shift Lead</t>
  </si>
  <si>
    <t>Registrar's Office</t>
  </si>
  <si>
    <t>Cindi Putnam</t>
  </si>
  <si>
    <t>Records, Registration &amp; Support</t>
  </si>
  <si>
    <t>Ana de Castro</t>
  </si>
  <si>
    <t xml:space="preserve">Office of Belonging Coordinator </t>
  </si>
  <si>
    <t>Adolfo Arellano Pineda</t>
  </si>
  <si>
    <t>Student Data evaluator</t>
  </si>
  <si>
    <t>Pelenatita</t>
  </si>
  <si>
    <t>Mariela Pezzali</t>
  </si>
  <si>
    <t>Project Manager</t>
  </si>
  <si>
    <t>Steven K. Thomas</t>
  </si>
  <si>
    <t>Aida Camarillo</t>
  </si>
  <si>
    <t>Records &amp; Transcripts Shift Lead</t>
  </si>
  <si>
    <t>Anne Owen</t>
  </si>
  <si>
    <t>Joseph Bentum</t>
  </si>
  <si>
    <t xml:space="preserve">Student Crisis Office Coordinator </t>
  </si>
  <si>
    <t>XML- EOR</t>
  </si>
  <si>
    <t>Alan Sanchez</t>
  </si>
  <si>
    <t>Graduation Agent</t>
  </si>
  <si>
    <t>Tyson Bell</t>
  </si>
  <si>
    <t>Ana Clara Lopes</t>
  </si>
  <si>
    <t>Student Crisis Office</t>
  </si>
  <si>
    <t>Alana Willis</t>
  </si>
  <si>
    <t>Planning Agent</t>
  </si>
  <si>
    <t>Lawrence Genesis Onyeisi</t>
  </si>
  <si>
    <t>Katelyn Ray</t>
  </si>
  <si>
    <t xml:space="preserve">Student Honor &amp; Conduct Office </t>
  </si>
  <si>
    <t>Alejandro Alvarez Flores</t>
  </si>
  <si>
    <t>Ariana Ester Manley Mejia</t>
  </si>
  <si>
    <t>Alejandro Gonzalez</t>
  </si>
  <si>
    <t>Records &amp; Transcripts Supervisor</t>
  </si>
  <si>
    <t>Anne Own</t>
  </si>
  <si>
    <t>Jarom Nascimento</t>
  </si>
  <si>
    <t>Amanda Smith</t>
  </si>
  <si>
    <t>Graduation Shift Lead</t>
  </si>
  <si>
    <t>Helen Segalla de Oliveira Rebouças</t>
  </si>
  <si>
    <t>Student Grievance Coordinator</t>
  </si>
  <si>
    <t>Andrew Petersen</t>
  </si>
  <si>
    <t>Graduation Supervisor</t>
  </si>
  <si>
    <t>Associate Dean of Students</t>
  </si>
  <si>
    <t>Full-Time Employee</t>
  </si>
  <si>
    <t>Angie Holt</t>
  </si>
  <si>
    <t>VP of Student Services</t>
  </si>
  <si>
    <t>Arian Bazan Azanero</t>
  </si>
  <si>
    <t>Joseph Chingwara</t>
  </si>
  <si>
    <t>Grievance Office</t>
  </si>
  <si>
    <t>Ashley Currier</t>
  </si>
  <si>
    <t>Ifunanya Queendalyn Okeke</t>
  </si>
  <si>
    <t>Astrid Rivera Nunez</t>
  </si>
  <si>
    <t>Wesley dos Santos</t>
  </si>
  <si>
    <t>Brett Lyman</t>
  </si>
  <si>
    <t>Registration Supervisor</t>
  </si>
  <si>
    <t>Kim Overdiek</t>
  </si>
  <si>
    <t>Student Honor &amp; Conduct Coordinator</t>
  </si>
  <si>
    <t>Service Area Coordinators</t>
  </si>
  <si>
    <t>Brooklyn Craythorne</t>
  </si>
  <si>
    <t>Hiring Manager</t>
  </si>
  <si>
    <t>Scott Appiah</t>
  </si>
  <si>
    <t>Bruce Holway</t>
  </si>
  <si>
    <t>Tubo-Oreriba Joseph Elisha</t>
  </si>
  <si>
    <t>Chhung Kim</t>
  </si>
  <si>
    <t>Israel Juzgaya</t>
  </si>
  <si>
    <t>Daniel Rasmuson</t>
  </si>
  <si>
    <t>Rhoda Mabundu</t>
  </si>
  <si>
    <t>Daniela Santibanez Pineira</t>
  </si>
  <si>
    <t>Isaias Zuñiga</t>
  </si>
  <si>
    <t>AI Dev. Manager</t>
  </si>
  <si>
    <t>Ricky Kailiponi Jr.</t>
  </si>
  <si>
    <t>AI</t>
  </si>
  <si>
    <t>Upwork</t>
  </si>
  <si>
    <t>Derek Goodwin</t>
  </si>
  <si>
    <t>Diego Huarsaya</t>
  </si>
  <si>
    <t>AI Engineer</t>
  </si>
  <si>
    <t>Jorge Chavez</t>
  </si>
  <si>
    <t>Destiny Hardin</t>
  </si>
  <si>
    <t>Enrollment Verification Agent</t>
  </si>
  <si>
    <t>Nikki Chambers</t>
  </si>
  <si>
    <t>Jorge Sosa</t>
  </si>
  <si>
    <t>Eduardo Sulecio</t>
  </si>
  <si>
    <t>Steven Tan</t>
  </si>
  <si>
    <t>Juan Camargo</t>
  </si>
  <si>
    <t>Elizabeth Anthony</t>
  </si>
  <si>
    <t>Prosper Odinakachukwu</t>
  </si>
  <si>
    <t xml:space="preserve">AI Engineer </t>
  </si>
  <si>
    <t>Elizabeth DeGraw</t>
  </si>
  <si>
    <t xml:space="preserve">Graduation Agent </t>
  </si>
  <si>
    <t>Team Lead</t>
  </si>
  <si>
    <t>Emilly Ferreira Lima Durante</t>
  </si>
  <si>
    <t>Emma Hamblin</t>
  </si>
  <si>
    <t>Enrollment Verification Supervisor</t>
  </si>
  <si>
    <t>Samuel Riveros</t>
  </si>
  <si>
    <t xml:space="preserve">Companion and  Special Projects Dev. Manager </t>
  </si>
  <si>
    <t>Companion and  Special Projects</t>
  </si>
  <si>
    <t>Ethan Brockbank</t>
  </si>
  <si>
    <t>Jacob Sanchez</t>
  </si>
  <si>
    <t>Companion Native Developer,  Security Champion</t>
  </si>
  <si>
    <t>Alirio Mieres</t>
  </si>
  <si>
    <t>Grover Vasquez</t>
  </si>
  <si>
    <t>Valerie Sanchez</t>
  </si>
  <si>
    <t>Companion Web Developer</t>
  </si>
  <si>
    <t>Ariel Sanchez</t>
  </si>
  <si>
    <t>Jackson Campbell</t>
  </si>
  <si>
    <t>Michelle Gutierrez</t>
  </si>
  <si>
    <t>Companion Web Developer,  Lead Designer</t>
  </si>
  <si>
    <t>Jerry Hodges</t>
  </si>
  <si>
    <t>Timileyin Omikunle</t>
  </si>
  <si>
    <t>Developer,  QA Champion</t>
  </si>
  <si>
    <t>Gabriel Bolivar</t>
  </si>
  <si>
    <t>Jimena Martinez Bolanos</t>
  </si>
  <si>
    <t>Team Lead,  Companion Web &amp; Native Developer</t>
  </si>
  <si>
    <t>Jonah Christensen</t>
  </si>
  <si>
    <t>Team Lead,  Companion Web Developer</t>
  </si>
  <si>
    <t>Joshua Jones</t>
  </si>
  <si>
    <t>Graduation Diplomatic Supervisor</t>
  </si>
  <si>
    <t>Team Lead,  QA &amp; Documentation</t>
  </si>
  <si>
    <t>Juliana Daley</t>
  </si>
  <si>
    <t>John Ayinde</t>
  </si>
  <si>
    <t xml:space="preserve">  Team Lead </t>
  </si>
  <si>
    <t>Sebastian Vargas</t>
  </si>
  <si>
    <t>D365 and  Automation</t>
  </si>
  <si>
    <t>Springboard</t>
  </si>
  <si>
    <t>Kami Mitchell</t>
  </si>
  <si>
    <t xml:space="preserve"> D365 and  Automation Dev. Manager</t>
  </si>
  <si>
    <t>Kate DeForest</t>
  </si>
  <si>
    <t>Matias Gutierrez</t>
  </si>
  <si>
    <t xml:space="preserve"> Team Lead</t>
  </si>
  <si>
    <t>Kathy Norcross</t>
  </si>
  <si>
    <t>Elias Oyarzun</t>
  </si>
  <si>
    <t>PowerApps Developer</t>
  </si>
  <si>
    <t>Kayla Palmore</t>
  </si>
  <si>
    <t>Ignacio Alvarez</t>
  </si>
  <si>
    <t>Letitia Marshall-Mellor</t>
  </si>
  <si>
    <t>Jose Sanchez</t>
  </si>
  <si>
    <t>Lillian Rousseau</t>
  </si>
  <si>
    <t>Rawin Olivera</t>
  </si>
  <si>
    <t>Livvy Rodarte</t>
  </si>
  <si>
    <t>Rene Sanchez</t>
  </si>
  <si>
    <t>Makenna Lundquist</t>
  </si>
  <si>
    <t>James De Guzman</t>
  </si>
  <si>
    <t xml:space="preserve">  Analytics &amp; Automation Specialist</t>
  </si>
  <si>
    <t>Aitana Toscano</t>
  </si>
  <si>
    <t>Data</t>
  </si>
  <si>
    <t>Mandy Hatch</t>
  </si>
  <si>
    <t>Dulci Dos Santos</t>
  </si>
  <si>
    <t>Marilin Mullo Culquicondor</t>
  </si>
  <si>
    <t>Gonzalo Oyarzun</t>
  </si>
  <si>
    <t>Data Analyst &amp; Reporting Specialist</t>
  </si>
  <si>
    <t>Melchisedek Davila Mata</t>
  </si>
  <si>
    <t>Nefi Dorado</t>
  </si>
  <si>
    <t>Milagros Concha Tamo</t>
  </si>
  <si>
    <t>Student Data Enaluator</t>
  </si>
  <si>
    <t>Oluwatobi Makinde</t>
  </si>
  <si>
    <t>Misael Iniestra Salazar</t>
  </si>
  <si>
    <t>Goodness Okafor</t>
  </si>
  <si>
    <t>Data Pipeline Engineer</t>
  </si>
  <si>
    <t>Morgan Beckey</t>
  </si>
  <si>
    <t>Matias Valenzuela</t>
  </si>
  <si>
    <t>ML Specialist (Predictive Models)</t>
  </si>
  <si>
    <t>Morgan Bohne</t>
  </si>
  <si>
    <t xml:space="preserve">Records &amp; Transcripts Shift Lead </t>
  </si>
  <si>
    <t>Jacob Adams</t>
  </si>
  <si>
    <t>Director of Digital Operations</t>
  </si>
  <si>
    <t>Morgan Redd</t>
  </si>
  <si>
    <t>Senior Manager of Digital Operations</t>
  </si>
  <si>
    <t>Enrollment Verification Coordinator</t>
  </si>
  <si>
    <t>Feyisayo Famakinde</t>
  </si>
  <si>
    <t>Azure Dev Ops Engineer</t>
  </si>
  <si>
    <t>Dev-Ops</t>
  </si>
  <si>
    <t>Nina Eubanks</t>
  </si>
  <si>
    <t>Karina Vargas</t>
  </si>
  <si>
    <t xml:space="preserve"> Project Manager</t>
  </si>
  <si>
    <t>Project Management</t>
  </si>
  <si>
    <t>Olivia Cordero</t>
  </si>
  <si>
    <t>David Peck</t>
  </si>
  <si>
    <t>Operational Data Analyst</t>
  </si>
  <si>
    <t>Joshua Stafford Hadden</t>
  </si>
  <si>
    <t>Systems &amp; Operations</t>
  </si>
  <si>
    <t>Paige Petersen</t>
  </si>
  <si>
    <t>Pelenatita Neiufi</t>
  </si>
  <si>
    <t>Reporting &amp; Evaluation Coordinator</t>
  </si>
  <si>
    <t>Paige Rasmussen</t>
  </si>
  <si>
    <t>Victor Lamôni Calado Ferreira</t>
  </si>
  <si>
    <t>System &amp; Operations Associate Registrar</t>
  </si>
  <si>
    <t>Rachel Dowdle</t>
  </si>
  <si>
    <t>Planning Supervisor</t>
  </si>
  <si>
    <t>Aitana Nathaly Toscano Cedeño</t>
  </si>
  <si>
    <t>Data Manager</t>
  </si>
  <si>
    <t>Rebeca Cisneros Lozano</t>
  </si>
  <si>
    <t>System &amp; Operations Manager</t>
  </si>
  <si>
    <t>Rebeca Leite</t>
  </si>
  <si>
    <t>James Etukudo</t>
  </si>
  <si>
    <t>Alison Cundiff</t>
  </si>
  <si>
    <t>Reina Matsumura</t>
  </si>
  <si>
    <t>Director of Enrollment &amp; Retention</t>
  </si>
  <si>
    <t>Sarah Birmingham</t>
  </si>
  <si>
    <t>Jose Escoto</t>
  </si>
  <si>
    <t>Senior Success Manager for Enrollment Counselling</t>
  </si>
  <si>
    <t>Rachel Kirk</t>
  </si>
  <si>
    <t>Enrollment Counseling</t>
  </si>
  <si>
    <t>Sarah Purvis</t>
  </si>
  <si>
    <t>Enrollment Counseling Manager</t>
  </si>
  <si>
    <t>Tarali Blanchard</t>
  </si>
  <si>
    <t>Kimarie Howard</t>
  </si>
  <si>
    <t>Enrollment Counseling Development &amp; Performance Coordinator</t>
  </si>
  <si>
    <t>Valeria Morales Pontillo</t>
  </si>
  <si>
    <t>Megan Niblett</t>
  </si>
  <si>
    <t>Enrollment Counseling Operations Coordinator</t>
  </si>
  <si>
    <t>Vanessa Sales de Morais</t>
  </si>
  <si>
    <t>Shaunasee Janette James</t>
  </si>
  <si>
    <t>Enrollment Coordinator</t>
  </si>
  <si>
    <t>Trevor Shelton</t>
  </si>
  <si>
    <t>Enrollment Services</t>
  </si>
  <si>
    <t>Vincent Onen</t>
  </si>
  <si>
    <t>Ely Zmolek</t>
  </si>
  <si>
    <t>Enrollment Services Specialist</t>
  </si>
  <si>
    <t>Yessika Antillon Denison Denison</t>
  </si>
  <si>
    <t>Senior Manager of Enrollment Services</t>
  </si>
  <si>
    <t>Alessandra Loiola</t>
  </si>
  <si>
    <t>Domestic Phone Support Agent</t>
  </si>
  <si>
    <t>Student Support</t>
  </si>
  <si>
    <t>Alyssa Burrell</t>
  </si>
  <si>
    <t>Trey Mooney</t>
  </si>
  <si>
    <t>University Chaplain</t>
  </si>
  <si>
    <t>Awilda Santos</t>
  </si>
  <si>
    <t>Peter Abarte</t>
  </si>
  <si>
    <t>Senior Success Manager for Mentoring</t>
  </si>
  <si>
    <t>Kelley Richardson</t>
  </si>
  <si>
    <t>Mentoring</t>
  </si>
  <si>
    <t>Blake Call</t>
  </si>
  <si>
    <t>Mentoring Manager</t>
  </si>
  <si>
    <t>Connor Washburn</t>
  </si>
  <si>
    <t>Mandy Schwab</t>
  </si>
  <si>
    <t>Mentor Development Specialist</t>
  </si>
  <si>
    <t>Endrit Cakollari</t>
  </si>
  <si>
    <t>Gabriela Ortega</t>
  </si>
  <si>
    <t>Success Manager for Mentoring</t>
  </si>
  <si>
    <t>Felipe Feitosa</t>
  </si>
  <si>
    <t>Carlos Alexandro Castañeda Rodriguez</t>
  </si>
  <si>
    <t>Horace Tun</t>
  </si>
  <si>
    <t>Jenifer Cisneros Ccoyllo</t>
  </si>
  <si>
    <t>Isis Flores</t>
  </si>
  <si>
    <t>Cynthia Trinity Nyachae</t>
  </si>
  <si>
    <t>Jassive Duran</t>
  </si>
  <si>
    <t>Johanna Relkin</t>
  </si>
  <si>
    <t>Mentor Operations Specialist</t>
  </si>
  <si>
    <t>Katelyn Slaugh</t>
  </si>
  <si>
    <t>Moses Abioye</t>
  </si>
  <si>
    <t>Mark Gefrom</t>
  </si>
  <si>
    <t>Kira Odake</t>
  </si>
  <si>
    <t>Phone Support Agent</t>
  </si>
  <si>
    <t>Victor Oluwapelumi Elerunndu</t>
  </si>
  <si>
    <t>Madi Bell</t>
  </si>
  <si>
    <t>Domestic Phone Support Lead</t>
  </si>
  <si>
    <t>Director of Student Records, Registration &amp; Support</t>
  </si>
  <si>
    <t>Mami Nagata</t>
  </si>
  <si>
    <t>Associate Registrar (Curriculum &amp; Configuration)</t>
  </si>
  <si>
    <t>Kari Johnson</t>
  </si>
  <si>
    <t>Marquelle Call</t>
  </si>
  <si>
    <t>Associate Registrar (Transcripts &amp; Graduation)</t>
  </si>
  <si>
    <t>Mia Homer</t>
  </si>
  <si>
    <t>Geraldine Susan Bean</t>
  </si>
  <si>
    <t>Graduation Coordinator</t>
  </si>
  <si>
    <t>Natalia Iglesias Vinocuna</t>
  </si>
  <si>
    <t>Cindi C Putnam</t>
  </si>
  <si>
    <t>Planning Coordinator</t>
  </si>
  <si>
    <t>Nick Gonzalez</t>
  </si>
  <si>
    <t>Anne E. Owen</t>
  </si>
  <si>
    <t>Records &amp; Transcript Coordinator</t>
  </si>
  <si>
    <t>Paige Gunther</t>
  </si>
  <si>
    <t>Registrar</t>
  </si>
  <si>
    <t>Stella Gefrom</t>
  </si>
  <si>
    <t>Nikki Jane Chambers</t>
  </si>
  <si>
    <t>Enrollment Verification Specialist</t>
  </si>
  <si>
    <t>Aubrey Smith</t>
  </si>
  <si>
    <t>Domestic Enrollment Counserlor</t>
  </si>
  <si>
    <t>Kira Hayes</t>
  </si>
  <si>
    <t>Consistency Coordinator (QA &amp; Knowledge Base)</t>
  </si>
  <si>
    <t>Brad Lester</t>
  </si>
  <si>
    <t>Bradley Braganca</t>
  </si>
  <si>
    <t>General Support Manager</t>
  </si>
  <si>
    <t>Char Fridley</t>
  </si>
  <si>
    <t>Hilary Bagley</t>
  </si>
  <si>
    <t>Student Experience Coordinator</t>
  </si>
  <si>
    <t>Daniel Leal</t>
  </si>
  <si>
    <t>Student Support Coordinator (Phone Support)</t>
  </si>
  <si>
    <t>Doris Klinglesmith</t>
  </si>
  <si>
    <t>Adam Bradford</t>
  </si>
  <si>
    <t>Technical Support Engineer</t>
  </si>
  <si>
    <t>Matthew Smith</t>
  </si>
  <si>
    <t>Technical Support</t>
  </si>
  <si>
    <t>Jacob Keeney Keeney</t>
  </si>
  <si>
    <t>Armen Wood</t>
  </si>
  <si>
    <t>Joanna Relken</t>
  </si>
  <si>
    <t>Mentoring Operations Specialist</t>
  </si>
  <si>
    <t>Jackson Fonseca</t>
  </si>
  <si>
    <t>Kim STEWART</t>
  </si>
  <si>
    <t>Miguel Figuereo</t>
  </si>
  <si>
    <t>Mack Monson</t>
  </si>
  <si>
    <t>Winner Aniekan Anietie</t>
  </si>
  <si>
    <t>Mentoring Development Specialist</t>
  </si>
  <si>
    <t>Sariah De Hoyos Hernandez</t>
  </si>
  <si>
    <t>Patricia Ann Donato</t>
  </si>
  <si>
    <t>Axel Dario Abalos</t>
  </si>
  <si>
    <t>Rebekah Sasser Sasser</t>
  </si>
  <si>
    <t>Maria Fernanda Moreno</t>
  </si>
  <si>
    <t>Melyssa Silva</t>
  </si>
  <si>
    <t>Ana Laura Daniela Vasquez Reynoso</t>
  </si>
  <si>
    <t>Colby Warner</t>
  </si>
  <si>
    <t>Product Support Engineer</t>
  </si>
  <si>
    <t>Technical Support Manager</t>
  </si>
  <si>
    <t>David De-Graft Koomson</t>
  </si>
  <si>
    <t>Ass Project Manager</t>
  </si>
  <si>
    <t>VP - Student Services</t>
  </si>
  <si>
    <t>Ben Packer</t>
  </si>
  <si>
    <t>Jess Swinburne</t>
  </si>
  <si>
    <t>Terence Borjal</t>
  </si>
  <si>
    <t>Qualitative Researcher</t>
  </si>
  <si>
    <t>Brandot Yarleque</t>
  </si>
  <si>
    <t>Technology strategy for analytics, AI/ML, the Companion platform, mentor portal, Power BI reporting, SIS configuration, and data pipelines.</t>
  </si>
  <si>
    <t xml:space="preserve"> SUB DEPT</t>
  </si>
  <si>
    <t>Executive oversight of Title IX, Student Conduct, Accessibility, Belonging, Grievances, and Crisis response offices.</t>
  </si>
  <si>
    <t>Enrollment counseling, mentoring programs, admissions services, ecclesiastical endorsements, and student retention strategy.</t>
  </si>
  <si>
    <t>Student support operations, registrar services, graduation, academic records, planning, enrollment verification, and knowledge base management.</t>
  </si>
  <si>
    <t xml:space="preserve"> All Department</t>
  </si>
  <si>
    <t>Admissions Office</t>
  </si>
  <si>
    <t xml:space="preserve">Level 1 Information </t>
  </si>
  <si>
    <t xml:space="preserve">Level 2 Information </t>
  </si>
  <si>
    <t xml:space="preserve">Level 3 Information </t>
  </si>
  <si>
    <t>Name</t>
  </si>
  <si>
    <t>Role</t>
  </si>
  <si>
    <t xml:space="preserve">Employee Status </t>
  </si>
  <si>
    <t>Stewardships</t>
  </si>
  <si>
    <t>Key KPIs</t>
  </si>
  <si>
    <t>Reports to:</t>
  </si>
  <si>
    <t>Department</t>
  </si>
  <si>
    <t xml:space="preserve">Link </t>
  </si>
  <si>
    <t>Key Responsibilities</t>
  </si>
  <si>
    <t xml:space="preserve">Direct Reports </t>
  </si>
  <si>
    <t>Director of Student Records, Registration, and Support</t>
  </si>
  <si>
    <t>FTE</t>
  </si>
  <si>
    <t xml:space="preserve">Registrar, student support, tech support oversight 
Help center 
Customer relations systems 
Ticket systems </t>
  </si>
  <si>
    <t>All Records, Registration, and Support teams meeting or exceeding service-level agreements for response, resolution, QA, CSAT, and first contact resolution 
Records, registration, and support department budget	
Overall student autonomy (primary)
Overall student satisfaction (secondary)</t>
  </si>
  <si>
    <t>Ben Packer, VP of Student Services</t>
  </si>
  <si>
    <t>Student Records, Registration, and Support</t>
  </si>
  <si>
    <t>https://churchofjesuschrist.sharepoint.com/:w:/s/BYU-PathwayStudentSuccessRoleInventory/IQBpfBRqxg1FTqAoAyYTtdYhAQZ58j2DOREbCoKMFpxpPBY?e=WczgAk</t>
  </si>
  <si>
    <t>Maintain a well-structured Help Center with effective ticket systems and external knowledge articles to address common student needs and reduce friction.
Ensure internal knowledge articles, proper ticket categorization, trend analysis, and bug escalation processes are in place to support agents and inform product and system improvements.
Balance service quality with efficiency through CSAT, first-contact resolution, QA evaluations, and effective handling of VIP and escalated cases.</t>
  </si>
  <si>
    <t>Brad Lester - Senior Manager of Student Support 
Matthew Smith - Technical Support Manager
Kari Johnson - Registrar
Victor Oluwapelumi Elerunndu - Project Manager
Moses Abioye - Project Manager</t>
  </si>
  <si>
    <t>Senior Manager of Student Support</t>
  </si>
  <si>
    <t xml:space="preserve">Inbound student support lead 
Academic advising program </t>
  </si>
  <si>
    <t xml:space="preserve">
Student support budget	
Autonomy rate for student support cases </t>
  </si>
  <si>
    <t>Mark Gefrom, Director of Student Records, Registration, and Support</t>
  </si>
  <si>
    <t>https://churchofjesuschrist.sharepoint.com/:w:/s/BYU-PathwayStudentSuccessRoleInventory/IQCKoBX4HbZJRq7HLLXdBrCbAdvXS8PLZF0W8t-imhz4UV4?e=HLCnTw</t>
  </si>
  <si>
    <t xml:space="preserve">Oversee daily support operations, including ticket management, escalation handling, and workload distribution. 
Monitor and report on key performance indicators such as response times, resolution times, and customer satisfaction. 
Coordinate with cross-departmental teams to resolve student issues and align support processes. 
Drive continuous improvement by analyzing trends, identifying root causes, and implementing process changes. 
Lead and develop support team staff through coaching, training, and performance management. </t>
  </si>
  <si>
    <t>Alyssa Burrell - Student Support Coordinator
Hilary Bagley - Training &amp; Quality Assurance Manager
Kira Hayes - Training &amp; Quality Assurance Coordinator</t>
  </si>
  <si>
    <t>Student Support Coordinator</t>
  </si>
  <si>
    <t>Phone support 
General support</t>
  </si>
  <si>
    <t xml:space="preserve">
General support case response and resolution rates
Phone support answer speed, handle rate, agent availability, QA, CSAT, and first contact resolution</t>
  </si>
  <si>
    <t>Brad Lester, Senior Manager of Student Support</t>
  </si>
  <si>
    <t>https://churchofjesuschrist.sharepoint.com/:w:/s/BYU-PathwayStudentSuccessRoleInventory/IQBwUBFZyWZaSLXU28SQe4_cAUirTYoW8S2Th63JomM1XhM?e=YVQEeX</t>
  </si>
  <si>
    <t xml:space="preserve">Lead and oversee the Phone Support team at BYU-Pathway Worldwide 
Monitor and report weekly metrics and provide training for the team or coach individual agents when goals are not met.  
Write and publish Knowledge Base articles specific to the phone support team 
Review QA and CSAT scores and ensure all teams have access to review their metrics and action improvements  </t>
  </si>
  <si>
    <t>Training &amp; Quality Assurance Manager</t>
  </si>
  <si>
    <t>Training, area collaboration, &amp; partner communication
Media &amp; Knowledge Base development
Student Support content accuracy
Student journey mapping</t>
  </si>
  <si>
    <t>Request-to-KB publish rate
Knowledge Base audit pass rate
Cost per KB Article Maintained
QA feedback cycle rate 
QA calibration consistency rate
QA team lead feedback success rate
Cost per QA Evaluation</t>
  </si>
  <si>
    <t>https://churchofjesuschrist.sharepoint.com/:w:/s/BYU-PathwayStudentSuccessRoleInventory/IQAAwTC8MOIqQIkj0G04BRqGAc9Y9taAUl9NY_6ZfIDUJ4Y?e=hfFaGg</t>
  </si>
  <si>
    <t xml:space="preserve">Coordinate training with other Pathway departments and external partners. 
Coordinate with media and creative teams to develop video and supplementary content for knowledge base articles. 
Facilitate communication across the student services structure within the organization and with partners. 
Collaborate with student support to ensure that student-facing articles on the Help Center are easily accessible and accurate. 
Outline and communicate the student journey </t>
  </si>
  <si>
    <t>Kira Hayes - Training &amp; Quality Assurance Coordinator</t>
  </si>
  <si>
    <t>Training &amp; Quality Assurance Coordinator</t>
  </si>
  <si>
    <t>Ticketing QA
External Knowledge Base articles
Support agent onboarding and training</t>
  </si>
  <si>
    <t>KB publishing rate
QA evaluation completion rate
DSAT and critical violation delivery rate</t>
  </si>
  <si>
    <t>Hilary Bagley, Training &amp; Quality Assurance Manager</t>
  </si>
  <si>
    <t>https://churchofjesuschrist.sharepoint.com/:w:/s/BYU-PathwayStudentSuccessRoleInventory/IQCtk6Visur9S73CLrYxUHrpAd25rc-Xrtvfnt3SO0KwFLM?e=H5naai</t>
  </si>
  <si>
    <t xml:space="preserve">Manage the QA team 
Provide reports on support performance in reference to QA metrics 
Manage the External KB team 
Ensure that internal articles are created when support agents have questions or are missing information when helping students 
Support the staffing needs of Student Support </t>
  </si>
  <si>
    <t>Inbound tech support lead</t>
  </si>
  <si>
    <t>Tech support case resolution rate
Tech support costs
Autonomy rate for tech support cases</t>
  </si>
  <si>
    <t>https://churchofjesuschrist.sharepoint.com/:w:/s/BYU-PathwayStudentSuccessRoleInventory/IQC6ZURvjEf_R4kbBaAAgIjGAaB-PHWFt8Afm--cDEFlV6M?e=Y0g1Xo</t>
  </si>
  <si>
    <t xml:space="preserve">Lead and develop the technical support team 
Use key performance indicators and service level agreements to track and share team and agent-level trends with stakeholders and leadership 
Develop and maintain a sound technical understanding of key systems, how they integrate, and how students use them 
Continue to mature overall technology support processes and reporting to effectively manage anticipated growth 
Assist in identifying and communicating major system outages to key stakeholders </t>
  </si>
  <si>
    <t xml:space="preserve">Colby Warner - Product Support Engineer </t>
  </si>
  <si>
    <t xml:space="preserve">Product Support Engineer </t>
  </si>
  <si>
    <t>Tech support troubleshooting &amp; resolution</t>
  </si>
  <si>
    <t>Escalated case resolution rate
Tech support case QA, CSAT, first contract resolution</t>
  </si>
  <si>
    <t>Matthew Smith, Technical Support Manager</t>
  </si>
  <si>
    <t>https://churchofjesuschrist.sharepoint.com/:w:/s/BYU-PathwayStudentSuccessRoleInventory/IQBaWG5YlOnKQrXGueyhBughAXBMduY1rLTdPM_7EobPwQo?e=e6Zd8q</t>
  </si>
  <si>
    <t xml:space="preserve">Resolve student cases 
Coordinate and resolve P1 issues 
Write DevOps bugs for ICS 
Write knowledge base articles and provide appropriate training 
Bug testing systems </t>
  </si>
  <si>
    <t xml:space="preserve">Registration and Records lead
Academic record maintenance
Block/Term system and catalog data publishing </t>
  </si>
  <si>
    <t>Registrar budget
Autonomy for registrar processes and cases
Case CSAT for planning and registration</t>
  </si>
  <si>
    <t>https://churchofjesuschrist.sharepoint.com/:w:/s/BYU-PathwayStudentSuccessRoleInventory/IQBkQUDPjDkJQqGJR2uD02GvAZ2F5T3reRUi0tmNHnatB8c?e=em7vc2</t>
  </si>
  <si>
    <t xml:space="preserve">Provide strategic leadership and direction for the Registrar’s Office 
Serve as the institutional authority over academic records 
Ensure compliance and policy governance 
Oversee registration operations
Direct academic governance and publishing 
Lead end-to-end graduation operations each block 
Oversee catalog maintenance </t>
  </si>
  <si>
    <t>Kim Overdiek - Associate Registrar
Tyson Bell - Associate Registrar</t>
  </si>
  <si>
    <t>Associate Registrar</t>
  </si>
  <si>
    <t>Policies &amp; processes
Curriculum/catalog maintenance 
Academic planning system configuration
Course registration process</t>
  </si>
  <si>
    <t>Process case resolution rate, QA, and CSAT
On-time catalog publishing and system configuration rates</t>
  </si>
  <si>
    <t>Kari Johnson, Registrar</t>
  </si>
  <si>
    <t>https://churchofjesuschrist.sharepoint.com/:w:/s/BYU-PathwayStudentSuccessRoleInventory/IQDHxfnyxJ_PTKTIYysDqssWAVj3YJCFsDb62MgYnRnRvfo?e=zcdOtl</t>
  </si>
  <si>
    <t xml:space="preserve">Process ADO resolution  
Review Coursedog proposals for Academic Catalog updates  
Make and test configuration updates in Anthology Student  
Maintain policy and processes for Curriculum, Planning, and Registration  
Work on manual registration as needed - GEC, Portuguese sections   </t>
  </si>
  <si>
    <t>Cindi C Putnam - Planning Coordinator 
Angie Holt - Registration Specialist</t>
  </si>
  <si>
    <t xml:space="preserve">Planning Coordinator </t>
  </si>
  <si>
    <t>Degree progress audit corrections</t>
  </si>
  <si>
    <t>Degree planning escalation case resolution rate, QA, and CSAT</t>
  </si>
  <si>
    <t>Kim Overdiek, Associate Registrar</t>
  </si>
  <si>
    <t>https://churchofjesuschrist.sharepoint.com/:w:/s/BYU-PathwayStudentSuccessRoleInventory/IQDM5kWdtj6eTobfhfYTnaukATgc2h46N2asN0nMbPnj9eA?e=vikaN5</t>
  </si>
  <si>
    <t xml:space="preserve">Oversee the planning team and their processes  
Collaborate with teams to resolve student DPA issues 
Check-ins with supervisors and team leads for support and training.  
Coordinate with Anthology to review platform concerns and issues </t>
  </si>
  <si>
    <t xml:space="preserve">Angie Bell </t>
  </si>
  <si>
    <t>Registration Specialist</t>
  </si>
  <si>
    <t>FTT</t>
  </si>
  <si>
    <t>Registration user testing
Registration support
Manual registration projects</t>
  </si>
  <si>
    <t>Registration issue case resolution rate, QA, and CSAT</t>
  </si>
  <si>
    <t>https://churchofjesuschrist.sharepoint.com/:w:/s/BYU-PathwayStudentSuccessRoleInventory/IQCG3lQB9sDJS4SZ2aTzVK8sATEJsadBe9TtYehiUNGHfwg?e=EXzB5z</t>
  </si>
  <si>
    <t xml:space="preserve">Test registration processes 
Lead registration cleanup and specialized projects 
Handle registration work for VIP or escalated students. </t>
  </si>
  <si>
    <t>Student records
Transcripts
Graduation
Enrollment verification</t>
  </si>
  <si>
    <t>Records case resolution rate, QA, and CSAT</t>
  </si>
  <si>
    <t>https://churchofjesuschrist.sharepoint.com/:w:/s/BYU-PathwayStudentSuccessRoleInventory/IQANGB82vwVpR7kWikzK32R6AcXDcnbDlXCI-F8G8MsOwZA?e=HYUBCa</t>
  </si>
  <si>
    <t xml:space="preserve">Manage Graduation, Records, and Enrollment Verification teams 
Queue request processing 
Execute projects to create process and systems to automate and scale the work 
Refine and direct processes to handle escalations 
Collaborate with external team to provide the critical fixes to anthology system 
Lead testing of critical fixes to verify and provide feedback to accelerate progress </t>
  </si>
  <si>
    <t xml:space="preserve">Geraldine Susan Bean - Graduation Coordinator
Anne E. Owen - Records &amp; Transcript Coordinator 
Nikki Jane Chambers - Enrollment Verification Specialist </t>
  </si>
  <si>
    <t>Graduation application
Diploma awarding process</t>
  </si>
  <si>
    <t xml:space="preserve">Graduation application case completion rate
Award processing rate
Number of rescinded degrees
Application and awarding QA </t>
  </si>
  <si>
    <t>Tyson Bell, Associate Registrar</t>
  </si>
  <si>
    <t>https://churchofjesuschrist.sharepoint.com/:w:/s/BYU-PathwayStudentSuccessRoleInventory/IQAR8feRUQUqRbS9IFJkfhY6Ae-dI_3KnvPYc7_B5RaXvmE?e=SVgmsJ</t>
  </si>
  <si>
    <t xml:space="preserve">Oversee the graduation team and their processes 
Vet and award graduation credentials  
Send orders for paper copies of diplomas 
Collaborate with partner institutions on all aspects of the graduation process  
Process escalations, concerns and deliver missed credentials  
Partner with communication team to share graduation information with students 
Oversee hiring and basic training for registrar office agents 
Configure portal alerts for apostille processing and graduation setup  </t>
  </si>
  <si>
    <t xml:space="preserve">Records &amp; Transcript Coordinator </t>
  </si>
  <si>
    <t>Grade changes
Academic exceptions
Transcript requests</t>
  </si>
  <si>
    <t>Process case completion rate
Process case QA, and CSAT
Transcript accuracy QA</t>
  </si>
  <si>
    <t>https://churchofjesuschrist.sharepoint.com/:w:/s/BYU-PathwayStudentSuccessRoleInventory/IQAEOXkjnBS2T5AgKHhw-KlEAXws8SAXw2fBBXWANGQ3-i8?e=frYZ29</t>
  </si>
  <si>
    <t xml:space="preserve">Maintaining and updating knowledge base for accuracy 
Ensure accuracy and efficiency of student record processes. 
Process grade changes 
Manage transcript processing, resolve data issues, and handle official requests 
Academic exceptions management </t>
  </si>
  <si>
    <t xml:space="preserve">Enrollment Verification Specialist </t>
  </si>
  <si>
    <t>Enrollment verification 
Partner transfer evaluation
Apostilles
Student verification letters</t>
  </si>
  <si>
    <t xml:space="preserve">Enrollment verification and apostille completion rate
Enrollment verification QA, and CSAT 
Apostille QA, and CSAT </t>
  </si>
  <si>
    <t>https://churchofjesuschrist.sharepoint.com/:w:/s/BYU-PathwayStudentSuccessRoleInventory/IQBkohdpEKodQoL-ghZzzwCRAQKlxkR8j_9LVGL0oGq1t5Y?e=8brGcT</t>
  </si>
  <si>
    <t xml:space="preserve">Process Enrollment Verification for third party 
Communicating with BYU-I on letters and forms 
Letters from the Department of the Defense 
Resolve Internal Credits missing from BYUI and Ensign College in the system  
Custom letters for students 
Process apostilles documents on request </t>
  </si>
  <si>
    <t>Executive Oversight of Federally and Institutionally Mandated Student Service Offices
Institutional Policy Stewardship &amp; Compliance (Title IX Coordintor, ADA/Section 504 Coordinator)
Crisis Governance &amp; Risk Mitigation</t>
  </si>
  <si>
    <t>No material audit, legal, or accreditation findings attributable to Dean of Students governance
Annual DOS budget	
Overall student satisfaction (primary)</t>
  </si>
  <si>
    <t>Dean of Students Office</t>
  </si>
  <si>
    <t>https://churchofjesuschrist.sharepoint.com/:w:/s/BYU-PathwayStudentSuccessRoleInventory/IQAJCeQuk9fHTbFRX-_VINCFAXaStbvWN2DK4_tsSELnmmQ?e=UfES01</t>
  </si>
  <si>
    <t>Executive Oversight of Federally and Institutionally Mandated Student Service Offices 
Institutional Policy Stewardship &amp; Compliance
Lead and oversee the global Dean of Students Office
Develop policies and procedures related to student support and conduct 
Coordinate with BYU-Idaho and Ensign College on compliance and student processes 
Report trends, risks, and student needs to executive leadership 
Manage DOS Office budget, staffing, and strategic initiatives 
Represent student support functions in executive councils and committees</t>
  </si>
  <si>
    <t>Anne Marie Clark - Associate Dean of Students</t>
  </si>
  <si>
    <t>Deputy Oversight of Title IX and ADA/Section 504 Compliance
Operational Governance and Quality Assurance of Dean of Students Services
Case Escalation, Secondary Review, and Risk Resolution Authority</t>
  </si>
  <si>
    <t>Dean of Students response and resolution time
Dean of Students services escalation rates
Partner C-Sat</t>
  </si>
  <si>
    <t>Steven K. Thomas, Dean of Students</t>
  </si>
  <si>
    <t>https://churchofjesuschrist.sharepoint.com/:w:/s/BYU-PathwayStudentSuccessRoleInventory/IQDSHzYkaQbiTKka4BszvUdeAelcwMltNNhbDXOi0SkDl08?e=xKEuAg</t>
  </si>
  <si>
    <t xml:space="preserve">Deputy Oversight of Title IX and ADA/Section 504 Compliance  
Operational Governance and Quality Assurance of Dean of Students Services  
Case Escalation, Secondary Review, and Risk Resolution Authority 
Train and support DOS staff 
Oversee daily operations of all six service areas 
Develop and improve processes and workflows 
Ensure service levels and response times are maintained 
Assist with compliance and policy implementation </t>
  </si>
  <si>
    <t>Katelyn Ray - Student Honor &amp; Conduct Coordinator
Sandra Wurttele - Student Accessibility Coordinator
Ana De Castro - Student Belonging Coordinator
Helen Reboucas - Student Grievance Coordinator
Joseph Bentum - Student Crisis Coordinator</t>
  </si>
  <si>
    <t>Institutional CES Honor Code Administration, Adjudication, and Due Process Enforcement
Behavioral Risk Monitoring and Institutional Conduct Trend Analysis</t>
  </si>
  <si>
    <t>Honor and Conduct response and resolution time
Repeat offender rate</t>
  </si>
  <si>
    <t>Anne Marie Clark, Associate Dean of Students</t>
  </si>
  <si>
    <t>https://churchofjesuschrist.sharepoint.com/:w:/s/BYU-PathwayStudentSuccessRoleInventory/IQBQz2AWfHg4QLr-tLfqWB5OAfGlKm815bIjKlysE6sH3XU?e=12zTcP</t>
  </si>
  <si>
    <t xml:space="preserve">Place holds on student accounts 
Meet with disgruntled students 
Enroll students in academic integrity course 
Coordination with BYU-Idaho Honor office 
Review and manage student conduct cases 
Determine outcomes and sanctions when appropriate 
Track conduct trends and policy implications </t>
  </si>
  <si>
    <t>Student Accessibility Coordinator</t>
  </si>
  <si>
    <t>Contractor</t>
  </si>
  <si>
    <t>Disability Accommodation Determination and Deputy ADA/Section 504 Coordinator
Accommodation Appeals, Adjustments, and Compliance Documentation</t>
  </si>
  <si>
    <t>Accommodation determination processing and resolution rates
ADA and Section 504 standard compliance and audit compliance rates</t>
  </si>
  <si>
    <t>https://churchofjesuschrist.sharepoint.com/:w:/s/BYU-PathwayStudentSuccessRoleInventory/IQBVF-cnaza5S4QpkfqcBzYBAeYcEuv3-9UQF2FsOVwDveg?e=fgld8E</t>
  </si>
  <si>
    <t xml:space="preserve">Disability accommodation determination  
Deputy ADA/Section 504 Coordinator 
Accommodation appeals, adjustments, and compliance documentation 
Meet with students to discuss barriers, needs, and reasonable accommodations 
Prepare and issue accommodation letters to students directly </t>
  </si>
  <si>
    <t>Ana De Castro</t>
  </si>
  <si>
    <t>Student Belonging Coordinator</t>
  </si>
  <si>
    <t>Non-Discrimination Administration and Institutional Response
Belonging-Related Concern Resolution and Systemic Risk Escalation</t>
  </si>
  <si>
    <t>Discrimination case resolution rate 
Student sentiment on belonging
Student belonging CSAT</t>
  </si>
  <si>
    <t>https://churchofjesuschrist.sharepoint.com/:w:/s/BYU-PathwayStudentSuccessRoleInventory/IQDw3EYyUChUSY3A6NON-yzTAbsZyYTV79vgs6HuVXn3KPM?e=eMTFQX</t>
  </si>
  <si>
    <t xml:space="preserve">Non-discrimination administration and institutional response 
Belonging-related concern resolution and systemic risk escalation 
Respond to belonging and non-discrimination concerns 
Support students experiencing discrimination or exclusion 
Develop belonging initiatives and student support resources 
Monitor trends related to belonging and student satisfaction 
Provide guidance on inclusive practices and student support 
Support students who may be at risk of leaving due to belonging concerns </t>
  </si>
  <si>
    <t>Helen Reboucas</t>
  </si>
  <si>
    <t>Formal Student Grievance Administration and Due Process Assurance
Grievance Appeals, Pattern Analysis, and Institutional Risk Insight</t>
  </si>
  <si>
    <t>Student grievance case resolution time
Grievance QA</t>
  </si>
  <si>
    <t>https://churchofjesuschrist.sharepoint.com/:w:/s/BYU-PathwayStudentSuccessRoleInventory/IQAFWmgwRzlyR5zv2gsq5azrAXc2nfbXRXsAR85GuTJ0Ykw?e=lLfV4e</t>
  </si>
  <si>
    <t xml:space="preserve">Formal Student Grievance Administration and Due Process Assurance 
Grievance Appeals, Pattern Analysis, and Institutional Risk Insight   
Receive and review student grievances 
Document and track grievance cases 
Coordinate grievance review with instructors and institutions 
Ensure grievance process follows policy and accreditation requirements 
Communicate grievance outcomes to students 
Maintain grievance records and reporting 
Identify trends and institutional process issues </t>
  </si>
  <si>
    <t>Student Crisis Coordinator</t>
  </si>
  <si>
    <t>Student Crisis Intake, Triage, Stabilization, and Emergency Coordination
High-Risk Case Monitoring and Institutional Safeguards</t>
  </si>
  <si>
    <t>Crisis response time</t>
  </si>
  <si>
    <t>https://churchofjesuschrist.sharepoint.com/:w:/s/BYU-PathwayStudentSuccessRoleInventory/IQCck7nWiNmJTbKblCL9bvWxASpttHquDaszNgyjwEDUvDA?e=zFBhpM</t>
  </si>
  <si>
    <t xml:space="preserve">Student Crisis Intake, Triage, Stabilization, and Emergency Coordination 
High-Risk Case Monitoring and Institutional Safeguards 
Supervise and support Student in Crisis Specialists 
Handle sensitive or high-impact cases  
Ensure adherence to institutional policies, privacy standards, and ethical guidelines through our outreach to students </t>
  </si>
  <si>
    <t>Enrollment services &amp; mentoring oversight
Student retention and completion</t>
  </si>
  <si>
    <t>Enrollment &amp; Retention budget
Enrollment, retention, completion (primary)
Overall student autonomy and satisfaction (secondary)</t>
  </si>
  <si>
    <t>https://churchofjesuschrist.sharepoint.com/:w:/s/BYU-PathwayStudentSuccessRoleInventory/IQAFhc5UkuwgTapnxWheHmYRAeUt6L6jGcomm-gS_hKDWbg?e=v2NPg4</t>
  </si>
  <si>
    <t>Ensure success of enrolment services &amp; mentoring teams.  
Tracking and understanding student retention and completion trends and needs. 
Oversee student throughput across the student journey/pipeline, using milestone tracking, dashboards, and AI &amp; human intervention strategies.  
Strategic planning and execution to meet Student Services and organizational objectives.  
Report to key stakeholders, including VP of Student Services.  
Represent enrollment services and mentoring in cross-functional meetings related to registration. 
Facilitate and participate in councils and workgroups when appropriate.</t>
  </si>
  <si>
    <t>Kelley Richardson - Mentoring Manager
Trevor Shelton - Senior Manager of Enrollment Services</t>
  </si>
  <si>
    <t>Mentoring program lead</t>
  </si>
  <si>
    <t>Mentor required action completion rate
Mentor interaction QA
Overall student autonomy (secondary)
Mentor CSAT
Retention rate contribution by mentors</t>
  </si>
  <si>
    <t>Alison Cundiff, Director of Enrollment &amp; Retention</t>
  </si>
  <si>
    <t>https://churchofjesuschrist.sharepoint.com/:w:/s/BYU-PathwayStudentSuccessRoleInventory/IQDf11sIFIdKRpf47WFm_HrbAbXK5oADRJG7VjwmaQKoGEY?e=LfYtXd</t>
  </si>
  <si>
    <t>Implement the mentoring strategy
Ensure that the mentor program has all the necessary resources, training programs, and plans to function effectively
Supply guides and required action implementation to standardize and inform mentors regarding ongoing changes and process updates
Implement and provide quality assurance for mentoring, such as case management and mentor interaction with students (timing, frequency, and quality), and the mentor scorecard system
Mentor CRM needs and adjustments</t>
  </si>
  <si>
    <t>Mandy Schwab - Mentor Development Specialist
Joanna Relkin - Mentor Operations Specialist</t>
  </si>
  <si>
    <t>PTT</t>
  </si>
  <si>
    <t xml:space="preserve">Mentoring program development </t>
  </si>
  <si>
    <t>Mentor interaction QA 
Mentor CSAT</t>
  </si>
  <si>
    <t>Kelley Richardson, Mentoring Manager</t>
  </si>
  <si>
    <t>https://churchofjesuschrist.sharepoint.com/:w:/s/BYU-PathwayStudentSuccessRoleInventory/IQBy2LVzDoldRZisyIODLh8zAQMURc-jWPshlLW15i3qb1A?e=U7sRj2</t>
  </si>
  <si>
    <t xml:space="preserve">Maintain and execute the Planning Calendar, including milestones and block strategies 
Develop and distribute program communications, including pilot updates and initiatives
Ensure clear documentation of policies and procedures for mentoring
Create, update, and manage Mentor Hub content and guides
Provide concise, actionable resources for mentors
Coordinate and document training needs and schedules
Create and present REACH methodology training
Maintain CSAT dashboard accuracy and evolution
Track and report on Development KPI metrics, including CSAT averages
Support continuous improvement efforts through data insights
Oversee and refine Interaction Scorecards within CRM systems
Lead evaluation coordination with leadership and external partners (Springboard)
Monitor and improve QA processes and scorecard effectiveness
Facilitate QA-related meetings and calibration efforts </t>
  </si>
  <si>
    <t>Joanna Relkin </t>
  </si>
  <si>
    <t xml:space="preserve">Mentoring program operations </t>
  </si>
  <si>
    <t>Mentor required action completion rate
Mentor concern case QA</t>
  </si>
  <si>
    <t>https://churchofjesuschrist.sharepoint.com/:w:/s/BYU-PathwayStudentSuccessRoleInventory/IQAD6qmcBdXESLblm4Cwxcq-AQzexoG57ED2rJSulZnrW7A?e=istmOr</t>
  </si>
  <si>
    <t xml:space="preserve">Required Action Planning 
Case Management Oversight and Implementation 
Collaborate with Digital Operations on Required Actions Dashboard and ensure data is accurate 
Compile data from RA Dashboard and share RA completion rate and student response data with Mentoring Manager and Mentoring team </t>
  </si>
  <si>
    <t>Enrollment services lead
Enrollment funnel performance, strategy, and innovation</t>
  </si>
  <si>
    <t>Reduction of enrollment related support cases
Reduction of admissions tier 2 support cases</t>
  </si>
  <si>
    <t>https://churchofjesuschrist.sharepoint.com/:w:/s/BYU-PathwayStudentSuccessRoleInventory/IQCVmNuaOp68SKhTnf_tOoajAX5JqDNZE3skdK_YOh1zQOg?e=cIHUdp</t>
  </si>
  <si>
    <t xml:space="preserve">Develop admissions policies and strategies to support new and evolving initiatives 
Lead system design, testing, and improvement efforts to enhance student access 
Monitor key admissions metrics to inform decisions 
Collaborate with BYU-Pathway leadership, partner institutions, and cross-functional teams to align processes 
Support organizational scalability through planning and documentation 
Provide oversight and direction to staff who manage operational processes (application review, endorsements, transcripts, data integrity) </t>
  </si>
  <si>
    <t>Rachel Kirk - Enrollment Counseling Manager
Shaunasee Janette James - Enrollment Coordinator 
Ely Zmolek - Enrollment Services Specialist 
Trey Mooney - University Chaplain</t>
  </si>
  <si>
    <t xml:space="preserve">Enrollment Counseling team
Enrollment funnel performance &amp; outcomes </t>
  </si>
  <si>
    <t>Application start to admission yield
Admission to registration yield
Registration to auto-drop yield</t>
  </si>
  <si>
    <t>Trevor Shelton, Senior Manager of Enrollment Services</t>
  </si>
  <si>
    <t>https://churchofjesuschrist.sharepoint.com/:w:/s/BYU-PathwayStudentSuccessRoleInventory/IQAw0JzSy0-_SJwGTk9TEoL5AfQPAV9g6j-Z3Q3eUX_PAaY?e=flOOTM</t>
  </si>
  <si>
    <t xml:space="preserve">Ensure Enrollment Counseling team is supported and functioning optimally  
Manage escalated student concerns  
Plan targeted outreach 
Plan and request tool optimization  
Understand and present results of key initiatives and team performance to senior leadership and key stakeholders </t>
  </si>
  <si>
    <t>Kimarie Howard - Enrollment Counseling Development and Performance Coordinator
Megan Niblett - Enrollment Counseling Operations Coordinator</t>
  </si>
  <si>
    <t>Enrollment Counseling Development and Performance Coordinator</t>
  </si>
  <si>
    <t>Enrollment Counseling development and performance</t>
  </si>
  <si>
    <t>Enrollment Counseling CSAT rate
Enrollment Counseling yield contribution</t>
  </si>
  <si>
    <t>Rachel Kirk, Enrollment Counseling Manager</t>
  </si>
  <si>
    <t>https://churchofjesuschrist.sharepoint.com/:w:/s/BYU-PathwayStudentSuccessRoleInventory/IQC8A6J14ltYSax9jMGUoFVTAec5lePpVzxNpeJdiJsbtBY?e=jimf3o</t>
  </si>
  <si>
    <t>Coach Enrollment Counselors through performance evaluations and implementation of training
Mentor Enrollment Counseling Student Supervisors to improve training delivery and leadership skills
Use evaluation results and data reports to improve Enrollment Counseling processes and outcomes
Develop new training tools to increase efficiency and performance
Monitor Enrollment Counselor outreach quality, accuracy of documentation, and completion in REACH
Provide input during hiring interviews and contribute to onboarding strategy
Assess human factors and behavioral trends affecting EC and student success
Develop leadership-focused content and initiatives to grow internal talent
Create and refine systems that drive team success and individual improvement
Identify barriers to Enrollment Counselor performance and strategize solutions
Work closely with the Enrollment Counseling Operations Coordinator.</t>
  </si>
  <si>
    <t>Megan Niblett </t>
  </si>
  <si>
    <t xml:space="preserve">Enrollment Counseling operations </t>
  </si>
  <si>
    <t>Enrollment Counseling required action completion rate
Enrollment Counseling contact rate by alert</t>
  </si>
  <si>
    <t>https://churchofjesuschrist.sharepoint.com/:w:/s/BYU-PathwayStudentSuccessRoleInventory/IQDYXALjqBy9TqMnkrLzZPALAVRIDVcR-t2zQ7_N6t_-sFI?e=OrqQzO</t>
  </si>
  <si>
    <t xml:space="preserve">Monitor Required Action assignments and Enrollment Counselor documentation in REACH
Share daily announcements and coordinate semester theme content
Maintain Enrollment Counselor Reference Guide, outreach templates, and internal resources
Oversee hiring process (review resumes, schedule and conduct interviews, extend offers)
Manage Enrollment Counselor bookings and onboarding logistics
Meet with new hires to complete HR forms and provide system access
Coordinate and manage self-evaluations, team performance trackers, and QA tools
Prepare agendas and materials for weekly Enrollment Counselor team and supervisor meetings
Monitor Enrollment Counseling cases (e.g., Enrollment Counselor concerns, mentor requests, etc.)
Support a culture of team unity via announcements, celebrations, and Team Unity Chat
Strategize Enrollment Counseling priorities to improve the overall student experience
Identify system issues, workflow bottlenecks, and escalate or resolve as needed
Collaborate with the Enrollment Counseling Performance Coordinator </t>
  </si>
  <si>
    <t xml:space="preserve">Enrollment Coordinator </t>
  </si>
  <si>
    <t>Transfer evaluation 
Ecclesiastical endorsement 
Chaplain partnership</t>
  </si>
  <si>
    <t>Transfer evaluation processing rate 
Number of transfer evaluation and endorsement cases
Transfer evaluation and endorsement case resolution rate</t>
  </si>
  <si>
    <t>https://churchofjesuschrist.sharepoint.com/:w:/s/BYU-PathwayStudentSuccessRoleInventory/IQBHJEF4d22UQ4TOTp6j8queASopK9ehmaq4-SfVdUQwo1g?e=qSPQFY</t>
  </si>
  <si>
    <t>Liaise with the Ecclesiastical Clearance Office (ECO) and chaplains to resolve endorsement-related issues.
Manage a team that notifies students with missing or MRNs and resetting endorsement requests.
Oversee transfer evaluation team as they make sure of transcript submission. workflows and ensure accurate linkage to student records.
Support or lead transcript evaluation processes to verify credit.
Manage and monitor student portal tools, including the English Language Assessment and Parent Program Selection.</t>
  </si>
  <si>
    <t xml:space="preserve">Enrollment Services Specialist </t>
  </si>
  <si>
    <t xml:space="preserve">Application processing
Admissons exceptions 
Admissions systems </t>
  </si>
  <si>
    <t>Application processing rate
Application manual review turnaround rate
Number of admissions support cases
Admissions case resolution rate</t>
  </si>
  <si>
    <t>https://churchofjesuschrist.sharepoint.com/:w:/s/BYU-PathwayStudentSuccessRoleInventory/IQDyS1zVpuz3SI8qQdzkXt4eAa5v6mtHteW4fZK3kCJ5twA?e=C1jcso</t>
  </si>
  <si>
    <t xml:space="preserve">Process student applications across various programs.
Monitor integration logs to verify successful application processing and resolve reported issues.
Review and process applications flagged for Manual Review, including those requiring exceptions.
Create and update knowledge base (KB) articles related to the application process.
Collaborate with the Registrar’s Office to update returning students’ credits and PathwayConnect graduations upon enrollment.
Test new application versions (e.g., Portuguese application) and report issues for resolution.
Oversee the Admissions SME queue, identifying and managing cases related to the application.
Supervise a team of student employees, providing weekly training and ongoing support. </t>
  </si>
  <si>
    <t xml:space="preserve">Ecclesiastical endorsements for non-member students </t>
  </si>
  <si>
    <t>Non-member endorsement completion rate
Number of support cases with non-member endorsement concerns</t>
  </si>
  <si>
    <t>https://churchofjesuschrist.sharepoint.com/:w:/s/BYU-PathwayStudentSuccessRoleInventory/IQCr-O7RTvhPRaqywK1WC3PeAfbXS3wjfPjtPewsh_8PD3M?e=5EgIUj</t>
  </si>
  <si>
    <t xml:space="preserve">Coordination Meeting with Admissions Leadership 
Data Team ECO Coordination Meeting 
Volunteer Chaplain Leadership Coordination 
Salt Lake City HQ Mission Presidency Coordination 
Conduct Ecclesiastical Endorsement Interviews 
Train Leadership 
Interview new Chaplains </t>
  </si>
  <si>
    <t xml:space="preserve">Director of Digital Operations </t>
  </si>
  <si>
    <t>Digital operations oversight
Application and implementation of emerging technologies
Strategy for Power BI, machine learning, agentic AI, and Companion teams
UX evaluation &amp; impact review</t>
  </si>
  <si>
    <t>Overall Stakeholder CSAT
Digital Ops budget
Costs saved by customers due to Digital Ops technologies (secondary)
Overall student autonomy (secondary)
Overall student satisfaction (secondary)
Application Rate
Retention Rate
Completion Rate (Secondary)</t>
  </si>
  <si>
    <t xml:space="preserve">Digital Operations </t>
  </si>
  <si>
    <t>https://churchofjesuschrist.sharepoint.com/:w:/s/BYU-PathwayStudentSuccessRoleInventory/IQA4Z3GLmjrRQ7VQBp_tH6EAAX8tlXHJ79We6G8lvZI-Z_s?e=hfmBx2</t>
  </si>
  <si>
    <t xml:space="preserve">Strategic discernment of analytics engine (backend) 
Companion/Mentor portal (frontend) feature alignment, development, and maintenance to scale to millions of students in multiple languages with the best of AI and human relationship-based intervention.    
Review non-linear and linear UX impacts and results. </t>
  </si>
  <si>
    <t xml:space="preserve">Ricky Kailiponi Jr. - Senior Manager of Digital Ops
Joshua Stafford Hadden - System &amp; Operations Manager </t>
  </si>
  <si>
    <t>Senior Manager of Digital Ops</t>
  </si>
  <si>
    <t xml:space="preserve">FTE </t>
  </si>
  <si>
    <t>Business Partner collaboration
Architect &amp; Engineer engagement (IT/ICS)
Development &amp; QA lead
AI Compliance &amp; advancement</t>
  </si>
  <si>
    <t>Team meeting project deadlines 
Companion feature C-Sat
Companion usage rates
Companion C-Sat
AI retention effect</t>
  </si>
  <si>
    <t xml:space="preserve">Jacob Adams - Director of Digital Operations </t>
  </si>
  <si>
    <t>https://churchofjesuschrist.sharepoint.com/:w:/s/BYU-PathwayStudentSuccessRoleInventory/IQA_Pg4UzvhTS7QJCBFKoz33AfnpJQE-bSz0L_2WnenPqRk?e=fV14kS</t>
  </si>
  <si>
    <t xml:space="preserve">Companion features including EC3, Registration, Admissions, Finance/Gatherings    
App management for the Mentor Portal, Ecclesiastical Endorsement App, and Support Cases integration 
Responsible for integrations with Azure and ICS stakeholders </t>
  </si>
  <si>
    <t>Sebastian Vargas - D365 &amp; Automation Manager
Samuel Riveros - Companion &amp; Special Projects Manager
Aitana Toscano - Data Manager
Isaias Zuñiga - AI Manager</t>
  </si>
  <si>
    <t xml:space="preserve">System &amp; Operations Manager </t>
  </si>
  <si>
    <t>Registrar business solutions
Operational data &amp; reporting
SIS support &amp; configuration</t>
  </si>
  <si>
    <t>Team meeting project timelines rate
Stakeholder CSAT on team's projects
Cost reductions in service areas (secondary)</t>
  </si>
  <si>
    <t>https://churchofjesuschrist.sharepoint.com/:w:/s/BYU-PathwayStudentSuccessRoleInventory/IQDAfxv5-z3nRIuCZ8cuqVLrAetuZhsS26bV2B5GVKjLtkk?e=we7VuH</t>
  </si>
  <si>
    <t xml:space="preserve">SIS Configuration Specialist 
Operational Data and Reporting 
Process and Solution Development </t>
  </si>
  <si>
    <t>David Peck - Operational Data Analyst
Pelenatita Neiufi - Reporting &amp; Evaluation Coordinator 
Victor Lamôni Calado Ferreira - System &amp; Operations Associate Registrar</t>
  </si>
  <si>
    <t>Power BI report management &amp; refresh</t>
  </si>
  <si>
    <t>Project delivery on time rate
Stakeholder CSAT - communication, quality of work, impact</t>
  </si>
  <si>
    <t xml:space="preserve">Joshua Stafford Hadden - System &amp; Operations Manager </t>
  </si>
  <si>
    <t>https://churchofjesuschrist.sharepoint.com/:w:/s/BYU-PathwayStudentSuccessRoleInventory/IQCZBbLkMAvERrRvFUiNIP8uAUhqA7Wc7H1tIJ0WisHWbLY?e=RulDks</t>
  </si>
  <si>
    <t xml:space="preserve">Create and maintain a suite of operational reports for the registrar office  
Manage the reports in the Power BI Apps that have been developed  
Ensure that reports continue to refresh and function as expected </t>
  </si>
  <si>
    <t xml:space="preserve">Reporting &amp; Evaluation Coordinator </t>
  </si>
  <si>
    <t>NSC &amp; Enrollment reporting (BYUI &amp; EC)
Student record updates (Demographics, SSN)
Qualitative research</t>
  </si>
  <si>
    <t>https://churchofjesuschrist.sharepoint.com/:w:/s/BYU-PathwayStudentSuccessRoleInventory/IQDO92S10jkTS7uQSURJg-AQAQB0pMN-87vTcDEJaGIc7Y8?e=m2YL0Q</t>
  </si>
  <si>
    <t xml:space="preserve">National Student Clearinghouse Reporting 
Demographic and social security number changes 
Qualitative Research Projects </t>
  </si>
  <si>
    <t>Registrar services for MLP students</t>
  </si>
  <si>
    <t>https://churchofjesuschrist.sharepoint.com/:w:/s/BYU-PathwayStudentSuccessRoleInventory/IQBd6L0FnQgkQoq21Rr5e_CeAVnmrAepKNqoBsDZpFYsz3A?e=5EPfTL</t>
  </si>
  <si>
    <t xml:space="preserve">Portuguese Services subject matter expert
Configuration Specialist for Multilanguage Programs </t>
  </si>
  <si>
    <t>D365 &amp; Automation Manager</t>
  </si>
  <si>
    <t xml:space="preserve">Contractor </t>
  </si>
  <si>
    <t xml:space="preserve">Mentor Portal 
Predictive Model Data Pipeline </t>
  </si>
  <si>
    <t>Stakeholder CSAT - timeliness per project
Stakeholder CSAT - communication, quality of work, impact</t>
  </si>
  <si>
    <t>Ricky Kailiponi Jr. - Senior Manager of Digital Ops</t>
  </si>
  <si>
    <t>https://churchofjesuschrist.sharepoint.com/:w:/s/BYU-PathwayStudentSuccessRoleInventory/IQCJXq3iu29QSbfipK9hj10LAboUgNxbbxhiZixIQKvTths?e=d8h5fW</t>
  </si>
  <si>
    <t xml:space="preserve">Data accuracy in mentor portal   
Data pipeline connection to predictive model index outputs 
High stakeholder satisfaction with enrollment counseling and mentoring services </t>
  </si>
  <si>
    <t>Companion &amp; Special Projects Manager</t>
  </si>
  <si>
    <t>Companion Front-End Stability &amp; Usability
Companion–Analytics Engine Integration</t>
  </si>
  <si>
    <t>https://churchofjesuschrist.sharepoint.com/:w:/s/BYU-PathwayStudentSuccessRoleInventory/IQAGDpuAcq_uRJQfBo6jtQ6VAZzICKfHCBKlonY8DuoA5c0?e=uOPRI1</t>
  </si>
  <si>
    <t>Responsible for Companion front end stability and usability
Responsible for Companion integrations with analytics engine
Responsible for high stakeholder satisfaction with ICS</t>
  </si>
  <si>
    <t xml:space="preserve">Aitana Toscano </t>
  </si>
  <si>
    <t>Power BI reporting lead
Backend Data stability &amp; cleaning</t>
  </si>
  <si>
    <t>https://churchofjesuschrist.sharepoint.com/:w:/s/BYU-PathwayStudentSuccessRoleInventory/IQDM61NrXoIgTZn7hTXqXYRFAT-HAogly8tB9cq40Uvl0dk?e=9icL1c</t>
  </si>
  <si>
    <t xml:space="preserve">Responsible for quick turnarounds for PowerBI 
Responsible for backend table stability and cleaning  
Responsible for high stakeholder satisfaction with Student Services </t>
  </si>
  <si>
    <t>AI Manager</t>
  </si>
  <si>
    <t>AI/ML Architecture development
Data Model development
Azure Board, GitHub, &amp; DevOps Pipeline management</t>
  </si>
  <si>
    <t>https://churchofjesuschrist.sharepoint.com/:w:/s/BYU-PathwayStudentSuccessRoleInventory/IQB-HCg_VNVVQ6goimpZTa7rAZp194qZhHI9tyf41DYA3T4?e=9YCbey</t>
  </si>
  <si>
    <t>Track project progression
Manage team through 1on1s and team meetings
Source solutions to unfolding project challenges
Build AI/ML Architecture
Build data model  
Maintain and manage Azure Developers board
Maintain and manage GitHub Repos
Maintain and manage Azure DevOps Pipelines
Maintain and manage Weekly reporting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</si>
</sst>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6"/>
      <color rgb="FFFFFFFF"/>
      <name val="Arial"/>
    </font>
    <font>
      <b/>
      <sz val="9"/>
      <color rgb="FF1B5E7B"/>
      <name val="Arial"/>
    </font>
    <font>
      <b/>
      <sz val="9"/>
      <color rgb="FF7C3A04"/>
      <name val="Arial"/>
    </font>
    <font>
      <b/>
      <sz val="9"/>
      <color rgb="FF1E6B4E"/>
      <name val="Arial"/>
    </font>
    <font>
      <i/>
      <sz val="9"/>
      <color rgb="FF555555"/>
      <name val="Arial"/>
    </font>
    <font>
      <b/>
      <sz val="9"/>
      <color rgb="FF1A1A1A"/>
      <name val="Arial"/>
    </font>
    <font>
      <b/>
      <sz val="9"/>
      <color rgb="FFA63D40"/>
      <name val="Arial"/>
    </font>
    <font>
      <b/>
      <sz val="16"/>
      <color rgb="FFFFFFFF"/>
      <name val="Arial"/>
      <charset val="1"/>
    </font>
    <font>
      <i/>
      <sz val="10"/>
      <color rgb="FF555555"/>
      <name val="Arial"/>
      <charset val="1"/>
    </font>
    <font>
      <b/>
      <sz val="9"/>
      <color rgb="FFFFFFFF"/>
      <name val="Arial"/>
      <charset val="1"/>
    </font>
    <font>
      <sz val="11"/>
      <color theme="0"/>
      <name val="Calibri"/>
      <family val="2"/>
      <scheme val="minor"/>
    </font>
    <font>
      <b/>
      <sz val="12"/>
      <color theme="0"/>
      <name val="Calibri"/>
      <family val="2"/>
      <scheme val="minor"/>
    </font>
    <font>
      <b/>
      <sz val="11"/>
      <color theme="1"/>
      <name val="Calibri"/>
      <family val="2"/>
      <scheme val="minor"/>
    </font>
    <font>
      <b/>
      <sz val="16"/>
      <color theme="1"/>
      <name val="Calibri"/>
      <family val="2"/>
      <scheme val="minor"/>
    </font>
    <font>
      <b/>
      <sz val="11"/>
      <color theme="0"/>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b/>
      <sz val="9"/>
      <color rgb="FF000000"/>
      <name val="Calibri"/>
      <family val="2"/>
      <scheme val="minor"/>
    </font>
    <font>
      <b/>
      <sz val="48"/>
      <color theme="4" tint="-0.249977111117893"/>
      <name val="Calibri"/>
      <family val="2"/>
      <scheme val="minor"/>
    </font>
    <font>
      <sz val="11"/>
      <color rgb="FF000000"/>
      <name val="Calibri"/>
      <charset val="1"/>
    </font>
    <font>
      <u/>
      <sz val="11"/>
      <color theme="10"/>
      <name val="Calibri"/>
      <family val="2"/>
      <scheme val="minor"/>
    </font>
  </fonts>
  <fills count="32">
    <fill>
      <patternFill patternType="none"/>
    </fill>
    <fill>
      <patternFill patternType="gray125"/>
    </fill>
    <fill>
      <patternFill patternType="solid">
        <fgColor rgb="FFD4EAF5"/>
      </patternFill>
    </fill>
    <fill>
      <patternFill patternType="solid">
        <fgColor rgb="FFFDE8C8"/>
      </patternFill>
    </fill>
    <fill>
      <patternFill patternType="solid">
        <fgColor rgb="FF2D3748"/>
      </patternFill>
    </fill>
    <fill>
      <patternFill patternType="solid">
        <fgColor rgb="FFEDF2F7"/>
      </patternFill>
    </fill>
    <fill>
      <patternFill patternType="solid">
        <fgColor rgb="FFD5F0D5"/>
      </patternFill>
    </fill>
    <fill>
      <patternFill patternType="solid">
        <fgColor rgb="FFFDE0E0"/>
      </patternFill>
    </fill>
    <fill>
      <patternFill patternType="solid">
        <fgColor rgb="FF1B5E7B"/>
        <bgColor rgb="FF1E6B4E"/>
      </patternFill>
    </fill>
    <fill>
      <patternFill patternType="solid">
        <fgColor rgb="FFD4EAF5"/>
        <bgColor rgb="FFD1EDDF"/>
      </patternFill>
    </fill>
    <fill>
      <patternFill patternType="solid">
        <fgColor rgb="FFB45309"/>
        <bgColor rgb="FFA63D40"/>
      </patternFill>
    </fill>
    <fill>
      <patternFill patternType="solid">
        <fgColor rgb="FFFDE8C8"/>
        <bgColor rgb="FFFEF3C7"/>
      </patternFill>
    </fill>
    <fill>
      <patternFill patternType="solid">
        <fgColor rgb="FF1E6B4E"/>
        <bgColor rgb="FF1B5E7B"/>
      </patternFill>
    </fill>
    <fill>
      <patternFill patternType="solid">
        <fgColor rgb="FFD1EDDF"/>
        <bgColor rgb="FFD5F0D5"/>
      </patternFill>
    </fill>
    <fill>
      <patternFill patternType="solid">
        <fgColor rgb="FF5B3A8C"/>
        <bgColor rgb="FF555555"/>
      </patternFill>
    </fill>
    <fill>
      <patternFill patternType="solid">
        <fgColor rgb="FFE4D9F2"/>
        <bgColor rgb="FFD4EAF5"/>
      </patternFill>
    </fill>
    <fill>
      <patternFill patternType="solid">
        <fgColor theme="3" tint="-0.499984740745262"/>
        <bgColor indexed="64"/>
      </patternFill>
    </fill>
    <fill>
      <patternFill patternType="solid">
        <fgColor rgb="FFFFC000"/>
        <bgColor indexed="64"/>
      </patternFill>
    </fill>
    <fill>
      <patternFill patternType="solid">
        <fgColor theme="7" tint="-0.249977111117893"/>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79998168889431442"/>
        <bgColor indexed="64"/>
      </patternFill>
    </fill>
  </fills>
  <borders count="26">
    <border>
      <left/>
      <right/>
      <top/>
      <bottom/>
      <diagonal/>
    </border>
    <border>
      <left style="thin">
        <color rgb="FFC0C0C0"/>
      </left>
      <right style="thin">
        <color rgb="FFC0C0C0"/>
      </right>
      <top style="thin">
        <color rgb="FFC0C0C0"/>
      </top>
      <bottom style="thin">
        <color rgb="FFC0C0C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rgb="FFC0C0C0"/>
      </right>
      <top style="thin">
        <color rgb="FFC0C0C0"/>
      </top>
      <bottom style="thin">
        <color rgb="FFC0C0C0"/>
      </bottom>
      <diagonal/>
    </border>
    <border>
      <left style="thin">
        <color theme="0"/>
      </left>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22" fillId="0" borderId="0" applyNumberFormat="0" applyFill="0" applyBorder="0" applyAlignment="0" applyProtection="0"/>
  </cellStyleXfs>
  <cellXfs count="99">
    <xf numFmtId="0" fontId="0" fillId="0" borderId="0" xfId="0"/>
    <xf numFmtId="0" fontId="0" fillId="4" borderId="0" xfId="0" applyFill="1" applyAlignment="1">
      <alignment vertical="center" wrapText="1"/>
    </xf>
    <xf numFmtId="0" fontId="0" fillId="5" borderId="0" xfId="0" applyFill="1" applyAlignment="1">
      <alignment vertical="center" wrapText="1"/>
    </xf>
    <xf numFmtId="0" fontId="6" fillId="0" borderId="0" xfId="0" applyFont="1" applyAlignment="1">
      <alignment vertical="center"/>
    </xf>
    <xf numFmtId="0" fontId="4" fillId="6"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horizontal="center" vertical="center"/>
    </xf>
    <xf numFmtId="0" fontId="0" fillId="8" borderId="0" xfId="0" applyFill="1" applyAlignment="1">
      <alignment vertical="center" wrapText="1"/>
    </xf>
    <xf numFmtId="0" fontId="0" fillId="9" borderId="0" xfId="0" applyFill="1" applyAlignment="1">
      <alignment vertical="center" wrapText="1"/>
    </xf>
    <xf numFmtId="0" fontId="0" fillId="0" borderId="0" xfId="0" applyAlignment="1">
      <alignment wrapText="1"/>
    </xf>
    <xf numFmtId="0" fontId="10" fillId="8" borderId="1" xfId="0" applyFont="1" applyFill="1" applyBorder="1" applyAlignment="1">
      <alignment horizontal="center" vertical="center"/>
    </xf>
    <xf numFmtId="0" fontId="0" fillId="10" borderId="0" xfId="0" applyFill="1" applyAlignment="1">
      <alignment vertical="center" wrapText="1"/>
    </xf>
    <xf numFmtId="0" fontId="0" fillId="11" borderId="0" xfId="0" applyFill="1" applyAlignment="1">
      <alignment vertical="center" wrapText="1"/>
    </xf>
    <xf numFmtId="0" fontId="12" fillId="10" borderId="0" xfId="0" applyFont="1" applyFill="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0" fillId="12" borderId="0" xfId="0" applyFill="1" applyAlignment="1">
      <alignment vertical="center" wrapText="1"/>
    </xf>
    <xf numFmtId="0" fontId="0" fillId="13" borderId="0" xfId="0" applyFill="1" applyAlignment="1">
      <alignment vertical="center" wrapText="1"/>
    </xf>
    <xf numFmtId="0" fontId="10" fillId="12" borderId="1" xfId="0" applyFont="1" applyFill="1" applyBorder="1" applyAlignment="1">
      <alignment horizontal="center" vertical="center"/>
    </xf>
    <xf numFmtId="0" fontId="10" fillId="0" borderId="1" xfId="0" applyFont="1" applyBorder="1" applyAlignment="1">
      <alignment horizontal="center" vertical="center"/>
    </xf>
    <xf numFmtId="0" fontId="0" fillId="14" borderId="0" xfId="0" applyFill="1" applyAlignment="1">
      <alignment vertical="center" wrapText="1"/>
    </xf>
    <xf numFmtId="0" fontId="0" fillId="15" borderId="0" xfId="0" applyFill="1" applyAlignment="1">
      <alignment vertical="center" wrapText="1"/>
    </xf>
    <xf numFmtId="0" fontId="10" fillId="14" borderId="1" xfId="0" applyFont="1" applyFill="1" applyBorder="1" applyAlignment="1">
      <alignment horizontal="center" vertical="center"/>
    </xf>
    <xf numFmtId="0" fontId="0" fillId="16" borderId="0" xfId="0" applyFill="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18" borderId="2" xfId="0" applyFill="1" applyBorder="1"/>
    <xf numFmtId="0" fontId="0" fillId="18" borderId="3" xfId="0" applyFill="1" applyBorder="1"/>
    <xf numFmtId="0" fontId="0" fillId="18" borderId="4" xfId="0" applyFill="1" applyBorder="1"/>
    <xf numFmtId="0" fontId="0" fillId="18" borderId="5" xfId="0" applyFill="1" applyBorder="1"/>
    <xf numFmtId="0" fontId="13" fillId="18" borderId="0" xfId="0" applyFont="1" applyFill="1"/>
    <xf numFmtId="0" fontId="0" fillId="18" borderId="0" xfId="0" applyFill="1"/>
    <xf numFmtId="0" fontId="13" fillId="18" borderId="6" xfId="0" applyFont="1" applyFill="1" applyBorder="1"/>
    <xf numFmtId="0" fontId="0" fillId="18" borderId="6" xfId="0" applyFill="1" applyBorder="1"/>
    <xf numFmtId="0" fontId="0" fillId="18" borderId="7" xfId="0" applyFill="1" applyBorder="1"/>
    <xf numFmtId="0" fontId="0" fillId="18" borderId="8" xfId="0" applyFill="1" applyBorder="1"/>
    <xf numFmtId="0" fontId="0" fillId="18" borderId="9" xfId="0" applyFill="1" applyBorder="1"/>
    <xf numFmtId="0" fontId="11" fillId="18" borderId="5" xfId="0" applyFont="1" applyFill="1" applyBorder="1"/>
    <xf numFmtId="0" fontId="15" fillId="18" borderId="0" xfId="0" applyFont="1" applyFill="1"/>
    <xf numFmtId="0" fontId="11" fillId="18" borderId="0" xfId="0" applyFont="1" applyFill="1" applyAlignment="1">
      <alignment horizontal="center"/>
    </xf>
    <xf numFmtId="0" fontId="11" fillId="18" borderId="0" xfId="0" applyFont="1" applyFill="1"/>
    <xf numFmtId="0" fontId="14" fillId="0" borderId="0" xfId="0" applyFont="1" applyAlignment="1">
      <alignment horizontal="right" vertical="center"/>
    </xf>
    <xf numFmtId="0" fontId="15" fillId="18" borderId="10" xfId="0" applyFont="1" applyFill="1" applyBorder="1" applyAlignment="1">
      <alignment horizontal="right"/>
    </xf>
    <xf numFmtId="0" fontId="11" fillId="18" borderId="10" xfId="0" applyFont="1" applyFill="1" applyBorder="1" applyAlignment="1">
      <alignment horizontal="center"/>
    </xf>
    <xf numFmtId="0" fontId="15" fillId="18" borderId="10" xfId="0" applyFont="1" applyFill="1" applyBorder="1" applyAlignment="1">
      <alignment horizontal="center"/>
    </xf>
    <xf numFmtId="0" fontId="15" fillId="18" borderId="11" xfId="0" applyFont="1" applyFill="1" applyBorder="1" applyAlignment="1">
      <alignment horizontal="right"/>
    </xf>
    <xf numFmtId="0" fontId="0" fillId="22" borderId="13" xfId="0" applyFill="1" applyBorder="1"/>
    <xf numFmtId="0" fontId="0" fillId="0" borderId="0" xfId="0" applyAlignment="1">
      <alignment vertical="center" wrapText="1"/>
    </xf>
    <xf numFmtId="0" fontId="0" fillId="23" borderId="14" xfId="0" applyFill="1" applyBorder="1" applyAlignment="1">
      <alignment vertical="center" wrapText="1"/>
    </xf>
    <xf numFmtId="0" fontId="0" fillId="28" borderId="14" xfId="0" applyFill="1" applyBorder="1" applyAlignment="1">
      <alignment vertical="center" wrapText="1"/>
    </xf>
    <xf numFmtId="0" fontId="0" fillId="31" borderId="14" xfId="0" applyFill="1" applyBorder="1" applyAlignment="1">
      <alignment vertical="center" wrapText="1"/>
    </xf>
    <xf numFmtId="0" fontId="21" fillId="28" borderId="14" xfId="0" applyFont="1" applyFill="1" applyBorder="1" applyAlignment="1">
      <alignment vertical="center" wrapText="1"/>
    </xf>
    <xf numFmtId="0" fontId="15" fillId="24" borderId="14" xfId="0" applyFont="1" applyFill="1" applyBorder="1" applyAlignment="1">
      <alignment horizontal="center" vertical="center" wrapText="1"/>
    </xf>
    <xf numFmtId="0" fontId="15" fillId="27" borderId="14" xfId="0" applyFont="1" applyFill="1" applyBorder="1" applyAlignment="1">
      <alignment horizontal="center" vertical="center" wrapText="1"/>
    </xf>
    <xf numFmtId="0" fontId="15" fillId="30" borderId="14" xfId="0" applyFont="1" applyFill="1" applyBorder="1" applyAlignment="1">
      <alignment horizontal="center" vertical="center" wrapText="1"/>
    </xf>
    <xf numFmtId="0" fontId="7" fillId="7" borderId="12" xfId="0" applyFont="1" applyFill="1" applyBorder="1" applyAlignment="1">
      <alignment horizontal="center" vertical="center"/>
    </xf>
    <xf numFmtId="0" fontId="0" fillId="16" borderId="0" xfId="0" applyFill="1"/>
    <xf numFmtId="0" fontId="0" fillId="0" borderId="20" xfId="0" applyBorder="1"/>
    <xf numFmtId="0" fontId="0" fillId="0" borderId="21" xfId="0" applyBorder="1"/>
    <xf numFmtId="0" fontId="0" fillId="0" borderId="24" xfId="0" applyBorder="1"/>
    <xf numFmtId="0" fontId="0" fillId="0" borderId="25" xfId="0" applyBorder="1"/>
    <xf numFmtId="0" fontId="0" fillId="0" borderId="22" xfId="0" applyBorder="1" applyAlignment="1">
      <alignment horizontal="center"/>
    </xf>
    <xf numFmtId="0" fontId="0" fillId="0" borderId="18" xfId="0" applyBorder="1" applyAlignment="1">
      <alignment horizontal="left"/>
    </xf>
    <xf numFmtId="0" fontId="22" fillId="28" borderId="14" xfId="1" applyFill="1" applyBorder="1" applyAlignment="1">
      <alignment vertical="center" wrapText="1"/>
    </xf>
    <xf numFmtId="0" fontId="15" fillId="27" borderId="14" xfId="0" applyFont="1" applyFill="1" applyBorder="1" applyAlignment="1">
      <alignment horizontal="center" vertical="center"/>
    </xf>
    <xf numFmtId="0" fontId="0" fillId="28" borderId="14" xfId="0" applyFill="1" applyBorder="1" applyAlignment="1">
      <alignment vertical="center"/>
    </xf>
    <xf numFmtId="0" fontId="0" fillId="0" borderId="23" xfId="0" applyBorder="1" applyAlignment="1">
      <alignment horizontal="center" wrapText="1"/>
    </xf>
    <xf numFmtId="0" fontId="17" fillId="19" borderId="0" xfId="0" applyFont="1" applyFill="1" applyAlignment="1">
      <alignment horizontal="center" vertical="center"/>
    </xf>
    <xf numFmtId="0" fontId="20" fillId="21" borderId="19" xfId="0" applyFont="1" applyFill="1" applyBorder="1" applyAlignment="1">
      <alignment horizontal="center" vertical="center"/>
    </xf>
    <xf numFmtId="0" fontId="19" fillId="21" borderId="0" xfId="0" applyFont="1" applyFill="1" applyAlignment="1">
      <alignment horizontal="center"/>
    </xf>
    <xf numFmtId="0" fontId="16" fillId="20" borderId="0" xfId="0" applyFont="1" applyFill="1" applyAlignment="1">
      <alignment horizontal="center" vertical="center"/>
    </xf>
    <xf numFmtId="0" fontId="14" fillId="0" borderId="0" xfId="0" applyFont="1" applyAlignment="1">
      <alignment horizontal="right" vertical="center"/>
    </xf>
    <xf numFmtId="0" fontId="18" fillId="19" borderId="0" xfId="0" applyFont="1" applyFill="1" applyAlignment="1">
      <alignment horizontal="center" vertical="center"/>
    </xf>
    <xf numFmtId="0" fontId="14" fillId="17" borderId="0" xfId="0" applyFont="1" applyFill="1" applyAlignment="1">
      <alignment horizontal="center" vertical="center"/>
    </xf>
    <xf numFmtId="0" fontId="16" fillId="0" borderId="0" xfId="0" applyFont="1" applyAlignment="1">
      <alignment horizontal="right" vertical="center"/>
    </xf>
    <xf numFmtId="0" fontId="1" fillId="4" borderId="0" xfId="0" applyFont="1" applyFill="1" applyAlignment="1">
      <alignment vertical="center"/>
    </xf>
    <xf numFmtId="0" fontId="5" fillId="5" borderId="0" xfId="0" applyFont="1" applyFill="1" applyAlignment="1">
      <alignment vertical="center" wrapText="1"/>
    </xf>
    <xf numFmtId="0" fontId="8" fillId="10" borderId="0" xfId="0" applyFont="1" applyFill="1" applyAlignment="1">
      <alignment vertical="center"/>
    </xf>
    <xf numFmtId="0" fontId="9" fillId="11" borderId="0" xfId="0" applyFont="1" applyFill="1" applyAlignment="1">
      <alignment vertical="center" wrapText="1"/>
    </xf>
    <xf numFmtId="0" fontId="8" fillId="12" borderId="0" xfId="0" applyFont="1" applyFill="1" applyAlignment="1">
      <alignment vertical="center"/>
    </xf>
    <xf numFmtId="0" fontId="9" fillId="13" borderId="0" xfId="0" applyFont="1" applyFill="1" applyAlignment="1">
      <alignment vertical="center" wrapText="1"/>
    </xf>
    <xf numFmtId="0" fontId="8" fillId="14" borderId="0" xfId="0" applyFont="1" applyFill="1" applyAlignment="1">
      <alignment vertical="center"/>
    </xf>
    <xf numFmtId="0" fontId="9" fillId="15" borderId="0" xfId="0" applyFont="1" applyFill="1" applyAlignment="1">
      <alignment vertical="center" wrapText="1"/>
    </xf>
    <xf numFmtId="0" fontId="8" fillId="8" borderId="0" xfId="0" applyFont="1" applyFill="1" applyAlignment="1">
      <alignment vertical="center"/>
    </xf>
    <xf numFmtId="0" fontId="9" fillId="9" borderId="0" xfId="0" applyFont="1" applyFill="1" applyAlignment="1">
      <alignment vertical="center" wrapText="1"/>
    </xf>
    <xf numFmtId="0" fontId="15" fillId="25" borderId="14" xfId="0" applyFont="1" applyFill="1" applyBorder="1" applyAlignment="1">
      <alignment horizontal="center" vertical="center" wrapText="1"/>
    </xf>
    <xf numFmtId="0" fontId="15" fillId="29" borderId="15" xfId="0" applyFont="1" applyFill="1" applyBorder="1" applyAlignment="1">
      <alignment horizontal="center" vertical="center" wrapText="1"/>
    </xf>
    <xf numFmtId="0" fontId="15" fillId="29" borderId="17" xfId="0" applyFont="1" applyFill="1" applyBorder="1" applyAlignment="1">
      <alignment horizontal="center" vertical="center" wrapText="1"/>
    </xf>
    <xf numFmtId="0" fontId="15" fillId="26" borderId="15"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7" xfId="0" applyFont="1" applyFill="1" applyBorder="1" applyAlignment="1">
      <alignment horizontal="center" vertical="center" wrapText="1"/>
    </xf>
    <xf numFmtId="0" fontId="0" fillId="0" borderId="0" xfId="0" applyAlignment="1"/>
  </cellXfs>
  <cellStyles count="2">
    <cellStyle name="Hyperlink" xfId="1" builtinId="8"/>
    <cellStyle name="Normal" xfId="0" builtinId="0"/>
  </cellStyles>
  <dxfs count="17">
    <dxf>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border diagonalUp="0" diagonalDown="0">
        <left style="thin">
          <color rgb="FF000000"/>
        </left>
        <right style="thin">
          <color rgb="FF000000"/>
        </right>
        <top/>
        <bottom/>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3" tint="-0.499984740745262"/>
        </patternFill>
      </fill>
    </dxf>
    <dxf>
      <fill>
        <patternFill patternType="solid">
          <fgColor indexed="64"/>
          <bgColor theme="3" tint="-0.499984740745262"/>
        </patternFill>
      </fill>
      <alignment horizontal="center" vertical="center"/>
    </dxf>
  </dxfs>
  <tableStyles count="0" defaultTableStyle="TableStyleMedium9" defaultPivotStyle="PivotStyleLight16"/>
  <colors>
    <mruColors>
      <color rgb="FFFFC328"/>
      <color rgb="FF0A1E26"/>
      <color rgb="FF065577"/>
      <color rgb="FF7B4F71"/>
      <color rgb="FF6A9FB0"/>
      <color rgb="FF3A929D"/>
      <color rgb="FFB687AC"/>
      <color rgb="FFA2C23D"/>
      <color rgb="FFCB4A27"/>
      <color rgb="FF2969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 Employees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DAshboard!$E$11</c:f>
              <c:strCache>
                <c:ptCount val="1"/>
                <c:pt idx="0">
                  <c:v># Employees</c:v>
                </c:pt>
              </c:strCache>
            </c:strRef>
          </c:tx>
          <c:spPr>
            <a:solidFill>
              <a:schemeClr val="accent1"/>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DAshboard!$D$12:$D$15</c:f>
              <c:strCache>
                <c:ptCount val="4"/>
                <c:pt idx="0">
                  <c:v>Full-Time </c:v>
                </c:pt>
                <c:pt idx="1">
                  <c:v>Full-Time Temporary</c:v>
                </c:pt>
                <c:pt idx="2">
                  <c:v>Part-Time Temporary</c:v>
                </c:pt>
                <c:pt idx="3">
                  <c:v>Student Employee</c:v>
                </c:pt>
              </c:strCache>
            </c:strRef>
          </c:cat>
          <c:val>
            <c:numRef>
              <c:f>DAshboard!$E$12:$E$15</c:f>
              <c:numCache>
                <c:formatCode>General</c:formatCode>
                <c:ptCount val="4"/>
                <c:pt idx="0">
                  <c:v>3</c:v>
                </c:pt>
                <c:pt idx="1">
                  <c:v>0</c:v>
                </c:pt>
                <c:pt idx="2">
                  <c:v>0</c:v>
                </c:pt>
                <c:pt idx="3">
                  <c:v>0</c:v>
                </c:pt>
              </c:numCache>
            </c:numRef>
          </c:val>
          <c:extLst>
            <c:ext xmlns:c16="http://schemas.microsoft.com/office/drawing/2014/chart" uri="{C3380CC4-5D6E-409C-BE32-E72D297353CC}">
              <c16:uniqueId val="{00000000-4B25-49CB-92E5-0BB431C95569}"/>
            </c:ext>
          </c:extLst>
        </c:ser>
        <c:dLbls>
          <c:showLegendKey val="0"/>
          <c:showVal val="0"/>
          <c:showCatName val="0"/>
          <c:showSerName val="0"/>
          <c:showPercent val="0"/>
          <c:showBubbleSize val="0"/>
        </c:dLbls>
        <c:gapWidth val="238"/>
        <c:axId val="913009671"/>
        <c:axId val="984798727"/>
      </c:barChart>
      <c:catAx>
        <c:axId val="913009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4798727"/>
        <c:crosses val="autoZero"/>
        <c:auto val="1"/>
        <c:lblAlgn val="ctr"/>
        <c:lblOffset val="100"/>
        <c:noMultiLvlLbl val="0"/>
      </c:catAx>
      <c:valAx>
        <c:axId val="984798727"/>
        <c:scaling>
          <c:orientation val="minMax"/>
        </c:scaling>
        <c:delete val="1"/>
        <c:axPos val="l"/>
        <c:numFmt formatCode="General" sourceLinked="1"/>
        <c:majorTickMark val="out"/>
        <c:minorTickMark val="none"/>
        <c:tickLblPos val="nextTo"/>
        <c:crossAx val="913009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EEC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DAshboard!$E$11</c:f>
              <c:strCache>
                <c:ptCount val="1"/>
                <c:pt idx="0">
                  <c:v># Employees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DAshboard!$D$12:$D$17</c:f>
              <c:strCache>
                <c:ptCount val="6"/>
                <c:pt idx="0">
                  <c:v>Full-Time </c:v>
                </c:pt>
                <c:pt idx="1">
                  <c:v>Full-Time Temporary</c:v>
                </c:pt>
                <c:pt idx="2">
                  <c:v>Part-Time Temporary</c:v>
                </c:pt>
                <c:pt idx="3">
                  <c:v>Student Employee</c:v>
                </c:pt>
                <c:pt idx="4">
                  <c:v>Professional Contractor</c:v>
                </c:pt>
                <c:pt idx="5">
                  <c:v>Student Contractor</c:v>
                </c:pt>
              </c:strCache>
            </c:strRef>
          </c:cat>
          <c:val>
            <c:numRef>
              <c:f>DAshboard!$E$12:$E$17</c:f>
              <c:numCache>
                <c:formatCode>General</c:formatCode>
                <c:ptCount val="6"/>
                <c:pt idx="0">
                  <c:v>3</c:v>
                </c:pt>
                <c:pt idx="1">
                  <c:v>0</c:v>
                </c:pt>
                <c:pt idx="2">
                  <c:v>0</c:v>
                </c:pt>
                <c:pt idx="3">
                  <c:v>0</c:v>
                </c:pt>
                <c:pt idx="4">
                  <c:v>17</c:v>
                </c:pt>
                <c:pt idx="5">
                  <c:v>0</c:v>
                </c:pt>
              </c:numCache>
            </c:numRef>
          </c:val>
          <c:extLst>
            <c:ext xmlns:c16="http://schemas.microsoft.com/office/drawing/2014/chart" uri="{C3380CC4-5D6E-409C-BE32-E72D297353CC}">
              <c16:uniqueId val="{00000000-43B4-4D72-A643-9FACB211DFB6}"/>
            </c:ext>
          </c:extLst>
        </c:ser>
        <c:dLbls>
          <c:showLegendKey val="0"/>
          <c:showVal val="0"/>
          <c:showCatName val="0"/>
          <c:showSerName val="0"/>
          <c:showPercent val="0"/>
          <c:showBubbleSize val="0"/>
        </c:dLbls>
        <c:gapWidth val="150"/>
        <c:axId val="59778056"/>
        <c:axId val="86231048"/>
      </c:barChart>
      <c:valAx>
        <c:axId val="86231048"/>
        <c:scaling>
          <c:orientation val="minMax"/>
        </c:scaling>
        <c:delete val="1"/>
        <c:axPos val="b"/>
        <c:numFmt formatCode="General" sourceLinked="1"/>
        <c:majorTickMark val="out"/>
        <c:minorTickMark val="none"/>
        <c:tickLblPos val="nextTo"/>
        <c:crossAx val="59778056"/>
        <c:crosses val="autoZero"/>
        <c:crossBetween val="between"/>
      </c:valAx>
      <c:catAx>
        <c:axId val="59778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31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DAshboard!$E$11</c:f>
              <c:strCache>
                <c:ptCount val="1"/>
                <c:pt idx="0">
                  <c:v>#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DAshboard!$D$12:$D$17</c:f>
              <c:strCache>
                <c:ptCount val="6"/>
                <c:pt idx="0">
                  <c:v>Full-Time </c:v>
                </c:pt>
                <c:pt idx="1">
                  <c:v>Full-Time Temporary</c:v>
                </c:pt>
                <c:pt idx="2">
                  <c:v>Part-Time Temporary</c:v>
                </c:pt>
                <c:pt idx="3">
                  <c:v>Student Employee</c:v>
                </c:pt>
                <c:pt idx="4">
                  <c:v>Professional Contractor</c:v>
                </c:pt>
                <c:pt idx="5">
                  <c:v>Student Contractor</c:v>
                </c:pt>
              </c:strCache>
            </c:strRef>
          </c:cat>
          <c:val>
            <c:numRef>
              <c:f>DAshboard!$E$12:$E$17</c:f>
              <c:numCache>
                <c:formatCode>General</c:formatCode>
                <c:ptCount val="6"/>
                <c:pt idx="0">
                  <c:v>3</c:v>
                </c:pt>
                <c:pt idx="1">
                  <c:v>0</c:v>
                </c:pt>
                <c:pt idx="2">
                  <c:v>0</c:v>
                </c:pt>
                <c:pt idx="3">
                  <c:v>0</c:v>
                </c:pt>
                <c:pt idx="4">
                  <c:v>17</c:v>
                </c:pt>
                <c:pt idx="5">
                  <c:v>0</c:v>
                </c:pt>
              </c:numCache>
            </c:numRef>
          </c:val>
          <c:extLst>
            <c:ext xmlns:c16="http://schemas.microsoft.com/office/drawing/2014/chart" uri="{C3380CC4-5D6E-409C-BE32-E72D297353CC}">
              <c16:uniqueId val="{00000000-0940-48BA-B22B-4E49486A6265}"/>
            </c:ext>
          </c:extLst>
        </c:ser>
        <c:dLbls>
          <c:showLegendKey val="0"/>
          <c:showVal val="0"/>
          <c:showCatName val="0"/>
          <c:showSerName val="0"/>
          <c:showPercent val="0"/>
          <c:showBubbleSize val="0"/>
        </c:dLbls>
        <c:gapWidth val="182"/>
        <c:axId val="873335815"/>
        <c:axId val="873346055"/>
      </c:barChart>
      <c:catAx>
        <c:axId val="873335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46055"/>
        <c:crosses val="autoZero"/>
        <c:auto val="1"/>
        <c:lblAlgn val="ctr"/>
        <c:lblOffset val="100"/>
        <c:noMultiLvlLbl val="0"/>
      </c:catAx>
      <c:valAx>
        <c:axId val="873346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35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-2590800</xdr:colOff>
      <xdr:row>0</xdr:row>
      <xdr:rowOff>-9525</xdr:rowOff>
    </xdr:from>
    <xdr:to>
      <xdr:col>0</xdr:col>
      <xdr:colOff>0</xdr:colOff>
      <xdr:row>0</xdr:row>
      <xdr:rowOff>-9525</xdr:rowOff>
    </xdr:to>
    <xdr:graphicFrame macro="">
      <xdr:nvGraphicFramePr>
        <xdr:cNvPr id="5" name="Chart 4">
          <a:extLst>
            <a:ext uri="{FF2B5EF4-FFF2-40B4-BE49-F238E27FC236}">
              <a16:creationId xmlns:a16="http://schemas.microsoft.com/office/drawing/2014/main" id="{C3AAF05C-CCBA-C380-8BC0-15A66A9F3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180975</xdr:colOff>
      <xdr:row>0</xdr:row>
      <xdr:rowOff>-381000</xdr:rowOff>
    </xdr:from>
    <xdr:to>
      <xdr:col>8</xdr:col>
      <xdr:colOff>180975</xdr:colOff>
      <xdr:row>0</xdr:row>
      <xdr:rowOff>-381000</xdr:rowOff>
    </xdr:to>
    <xdr:graphicFrame macro="">
      <xdr:nvGraphicFramePr>
        <xdr:cNvPr id="2" name="Chart 1">
          <a:extLst>
            <a:ext uri="{FF2B5EF4-FFF2-40B4-BE49-F238E27FC236}">
              <a16:creationId xmlns:a16="http://schemas.microsoft.com/office/drawing/2014/main" id="{1918DB79-C22B-A18E-6AB8-99AC2656F44A}"/>
            </a:ext>
            <a:ext uri="{147F2762-F138-4A5C-976F-8EAC2B608ADB}">
              <a16:predDERef xmlns:a16="http://schemas.microsoft.com/office/drawing/2014/main" pred="{C3AAF05C-CCBA-C380-8BC0-15A66A9F3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8</xdr:row>
      <xdr:rowOff>95250</xdr:rowOff>
    </xdr:from>
    <xdr:to>
      <xdr:col>7</xdr:col>
      <xdr:colOff>152400</xdr:colOff>
      <xdr:row>19</xdr:row>
      <xdr:rowOff>95250</xdr:rowOff>
    </xdr:to>
    <xdr:graphicFrame macro="">
      <xdr:nvGraphicFramePr>
        <xdr:cNvPr id="4" name="Chart 5">
          <a:extLst>
            <a:ext uri="{FF2B5EF4-FFF2-40B4-BE49-F238E27FC236}">
              <a16:creationId xmlns:a16="http://schemas.microsoft.com/office/drawing/2014/main" id="{52DEE766-D9D0-46ED-000B-F7BF72D9E3F1}"/>
            </a:ext>
            <a:ext uri="{147F2762-F138-4A5C-976F-8EAC2B608ADB}">
              <a16:predDERef xmlns:a16="http://schemas.microsoft.com/office/drawing/2014/main" pred="{1918DB79-C22B-A18E-6AB8-99AC2656F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EF44A8-51A8-4C35-935E-D3545A593623}" name="MasterDirectory" displayName="MasterDirectory" ref="B6:J112" totalsRowShown="0" headerRowDxfId="16">
  <autoFilter ref="B6:J112" xr:uid="{6DEF44A8-51A8-4C35-935E-D3545A593623}"/>
  <sortState xmlns:xlrd2="http://schemas.microsoft.com/office/spreadsheetml/2017/richdata2" ref="B7:J110">
    <sortCondition ref="E7:E110"/>
    <sortCondition ref="H7:H110"/>
    <sortCondition ref="F7:F110"/>
    <sortCondition ref="D7:D110"/>
    <sortCondition ref="C7:C110"/>
  </sortState>
  <tableColumns count="9">
    <tableColumn id="1" xr3:uid="{D5606C7E-EFDF-40F5-8A48-823049905B93}" name="#" dataDxfId="15"/>
    <tableColumn id="2" xr3:uid="{5C2FD3CE-4870-445D-9E0C-B5A167605F62}" name="NAME" dataDxfId="14"/>
    <tableColumn id="3" xr3:uid="{411168C5-1B0F-440D-B3FD-F838115F33FF}" name="ROLE" dataDxfId="13"/>
    <tableColumn id="4" xr3:uid="{03229818-9BD0-4F7C-A45E-014C88FBF6E1}" name="DEPARTMENT" dataDxfId="12"/>
    <tableColumn id="6" xr3:uid="{7C9B6453-641B-4D01-A4E2-C368C7DFC97B}" name="EMPLOYMENT TYPE" dataDxfId="11"/>
    <tableColumn id="7" xr3:uid="{AA258CC2-67FE-4AB7-B664-3CF6357A3C4C}" name="PRIMARY STAKEHOLDER" dataDxfId="10"/>
    <tableColumn id="8" xr3:uid="{6BC945A7-2BA8-435E-9C12-5803B29E5839}" name="SUB DEPT" dataDxfId="9"/>
    <tableColumn id="9" xr3:uid="{87F5E2BB-D0E6-4D7F-9499-CECF6B51A04F}" name="CONTRACT ORGANIZATION" dataDxfId="8"/>
    <tableColumn id="5" xr3:uid="{44DD8655-64EC-4DFF-B4DB-7718D09199AD}" name="Tier Type" dataDxfId="7"/>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64F7F2-2068-4B3E-B6CA-915D388019B6}" name="Table3" displayName="Table3" ref="L6:M10" totalsRowShown="0" headerRowDxfId="6" headerRowBorderDxfId="4" tableBorderDxfId="5" totalsRowBorderDxfId="3">
  <autoFilter ref="L6:M10" xr:uid="{6C64F7F2-2068-4B3E-B6CA-915D388019B6}"/>
  <tableColumns count="2">
    <tableColumn id="1" xr3:uid="{56CF6E5F-B9A6-46BD-A3B8-2EEAEBB2F418}" name="Dept" dataDxfId="2"/>
    <tableColumn id="2" xr3:uid="{8F2D925F-B3C4-4EF0-8FAC-38F82D1AED34}" name="Number of Student Contractors" dataDxfId="1"/>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F838D3-EAB3-43FB-B079-E7CCDB84E0A6}" name="Table4" displayName="Table4" ref="P6:U105" totalsRowShown="0" headerRowDxfId="0">
  <autoFilter ref="P6:U105" xr:uid="{5FF838D3-EAB3-43FB-B079-E7CCDB84E0A6}"/>
  <tableColumns count="6">
    <tableColumn id="1" xr3:uid="{AD0CFF6C-6A18-4F0C-97AF-63E0D49248B5}" name="EMPLOYEE NAME"/>
    <tableColumn id="2" xr3:uid="{5D325B45-2CB1-49FE-B198-B0669AF65A70}" name="JOB NAME"/>
    <tableColumn id="3" xr3:uid="{A94AC7AF-E59B-4013-BC2A-B134EBDE808E}" name="Role Title"/>
    <tableColumn id="4" xr3:uid="{0C1A89CF-B64D-4A07-A940-DE5BAF637CD8}" name="Sub-Dept"/>
    <tableColumn id="5" xr3:uid="{871060DA-B123-4360-BFD0-EF620DCEDBD5}" name="Supervisor "/>
    <tableColumn id="6" xr3:uid="{E0F4A067-2F36-4D60-A7FC-35D8888DF998}" name="Dept"/>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D1B673-A162-49D5-AF19-BA31A16E4DD6}" name="dept" displayName="dept" ref="B2:C24" totalsRowShown="0">
  <autoFilter ref="B2:C24" xr:uid="{2FD1B673-A162-49D5-AF19-BA31A16E4DD6}"/>
  <tableColumns count="2">
    <tableColumn id="1" xr3:uid="{5788EE09-EA61-4E1C-A105-C4639C34771D}" name=" All Department"/>
    <tableColumn id="2" xr3:uid="{0F01142F-F365-4F05-A63E-BD957A8186D3}" name="Sub-Dep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3" Type="http://schemas.openxmlformats.org/officeDocument/2006/relationships/hyperlink" Target="https://churchofjesuschrist.sharepoint.com/:w:/s/BYU-PathwayStudentSuccessRoleInventory/IQDyS1zVpuz3SI8qQdzkXt4eAa5v6mtHteW4fZK3kCJ5twA?e=C1jcso" TargetMode="External"/><Relationship Id="rId18" Type="http://schemas.openxmlformats.org/officeDocument/2006/relationships/hyperlink" Target="https://churchofjesuschrist.sharepoint.com/:w:/s/BYU-PathwayStudentSuccessRoleInventory/IQCVmNuaOp68SKhTnf_tOoajAX5JqDNZE3skdK_YOh1zQOg?e=cIHUdp" TargetMode="External"/><Relationship Id="rId26" Type="http://schemas.openxmlformats.org/officeDocument/2006/relationships/hyperlink" Target="https://churchofjesuschrist.sharepoint.com/:w:/s/BYU-PathwayStudentSuccessRoleInventory/IQBVF-cnaza5S4QpkfqcBzYBAeYcEuv3-9UQF2FsOVwDveg?e=fgld8E" TargetMode="External"/><Relationship Id="rId39" Type="http://schemas.openxmlformats.org/officeDocument/2006/relationships/hyperlink" Target="https://churchofjesuschrist.sharepoint.com/:w:/s/BYU-PathwayStudentSuccessRoleInventory/IQCG3lQB9sDJS4SZ2aTzVK8sATEJsadBe9TtYehiUNGHfwg?e=EXzB5z" TargetMode="External"/><Relationship Id="rId21" Type="http://schemas.openxmlformats.org/officeDocument/2006/relationships/hyperlink" Target="https://churchofjesuschrist.sharepoint.com/:w:/s/BYU-PathwayStudentSuccessRoleInventory/IQDf11sIFIdKRpf47WFm_HrbAbXK5oADRJG7VjwmaQKoGEY?e=LfYtXd" TargetMode="External"/><Relationship Id="rId34" Type="http://schemas.openxmlformats.org/officeDocument/2006/relationships/hyperlink" Target="https://churchofjesuschrist.sharepoint.com/:w:/s/BYU-PathwayStudentSuccessRoleInventory/IQC6ZURvjEf_R4kbBaAAgIjGAaB-PHWFt8Afm--cDEFlV6M?e=Y0g1Xo" TargetMode="External"/><Relationship Id="rId42" Type="http://schemas.openxmlformats.org/officeDocument/2006/relationships/hyperlink" Target="https://churchofjesuschrist.sharepoint.com/:w:/s/BYU-PathwayStudentSuccessRoleInventory/IQAEOXkjnBS2T5AgKHhw-KlEAXws8SAXw2fBBXWANGQ3-i8?e=frYZ29" TargetMode="External"/><Relationship Id="rId7" Type="http://schemas.openxmlformats.org/officeDocument/2006/relationships/hyperlink" Target="https://churchofjesuschrist.sharepoint.com/:w:/s/BYU-PathwayStudentSuccessRoleInventory/IQDO92S10jkTS7uQSURJg-AQAQB0pMN-87vTcDEJaGIc7Y8?e=m2YL0Q" TargetMode="External"/><Relationship Id="rId2" Type="http://schemas.openxmlformats.org/officeDocument/2006/relationships/hyperlink" Target="https://churchofjesuschrist.sharepoint.com/:w:/s/BYU-PathwayStudentSuccessRoleInventory/IQB-HCg_VNVVQ6goimpZTa7rAZp194qZhHI9tyf41DYA3T4?e=9YCbey" TargetMode="External"/><Relationship Id="rId16" Type="http://schemas.openxmlformats.org/officeDocument/2006/relationships/hyperlink" Target="https://churchofjesuschrist.sharepoint.com/:w:/s/BYU-PathwayStudentSuccessRoleInventory/IQC8A6J14ltYSax9jMGUoFVTAec5lePpVzxNpeJdiJsbtBY?e=jimf3o" TargetMode="External"/><Relationship Id="rId20" Type="http://schemas.openxmlformats.org/officeDocument/2006/relationships/hyperlink" Target="https://churchofjesuschrist.sharepoint.com/:w:/s/BYU-PathwayStudentSuccessRoleInventory/IQAD6qmcBdXESLblm4Cwxcq-AQzexoG57ED2rJSulZnrW7A?e=istmOr" TargetMode="External"/><Relationship Id="rId29" Type="http://schemas.openxmlformats.org/officeDocument/2006/relationships/hyperlink" Target="https://churchofjesuschrist.sharepoint.com/:w:/s/BYU-PathwayStudentSuccessRoleInventory/IQCck7nWiNmJTbKblCL9bvWxASpttHquDaszNgyjwEDUvDA?e=zFBhpM" TargetMode="External"/><Relationship Id="rId41" Type="http://schemas.openxmlformats.org/officeDocument/2006/relationships/hyperlink" Target="https://churchofjesuschrist.sharepoint.com/:w:/s/BYU-PathwayStudentSuccessRoleInventory/IQAR8feRUQUqRbS9IFJkfhY6Ae-dI_3KnvPYc7_B5RaXvmE?e=SVgmsJ" TargetMode="External"/><Relationship Id="rId1" Type="http://schemas.openxmlformats.org/officeDocument/2006/relationships/hyperlink" Target="https://churchofjesuschrist.sharepoint.com/:w:/s/BYU-PathwayStudentSuccessRoleInventory/IQBpfBRqxg1FTqAoAyYTtdYhAQZ58j2DOREbCoKMFpxpPBY?e=WczgAk" TargetMode="External"/><Relationship Id="rId6" Type="http://schemas.openxmlformats.org/officeDocument/2006/relationships/hyperlink" Target="https://churchofjesuschrist.sharepoint.com/:w:/s/BYU-PathwayStudentSuccessRoleInventory/IQBd6L0FnQgkQoq21Rr5e_CeAVnmrAepKNqoBsDZpFYsz3A?e=5EPfTL" TargetMode="External"/><Relationship Id="rId11" Type="http://schemas.openxmlformats.org/officeDocument/2006/relationships/hyperlink" Target="https://churchofjesuschrist.sharepoint.com/:w:/s/BYU-PathwayStudentSuccessRoleInventory/IQA4Z3GLmjrRQ7VQBp_tH6EAAX8tlXHJ79We6G8lvZI-Z_s?e=hfmBx2" TargetMode="External"/><Relationship Id="rId24" Type="http://schemas.openxmlformats.org/officeDocument/2006/relationships/hyperlink" Target="https://churchofjesuschrist.sharepoint.com/:w:/s/BYU-PathwayStudentSuccessRoleInventory/IQDSHzYkaQbiTKka4BszvUdeAelcwMltNNhbDXOi0SkDl08?e=xKEuAg" TargetMode="External"/><Relationship Id="rId32" Type="http://schemas.openxmlformats.org/officeDocument/2006/relationships/hyperlink" Target="https://churchofjesuschrist.sharepoint.com/:w:/s/BYU-PathwayStudentSuccessRoleInventory/IQCtk6Visur9S73CLrYxUHrpAd25rc-Xrtvfnt3SO0KwFLM?e=H5naai" TargetMode="External"/><Relationship Id="rId37" Type="http://schemas.openxmlformats.org/officeDocument/2006/relationships/hyperlink" Target="https://churchofjesuschrist.sharepoint.com/:w:/s/BYU-PathwayStudentSuccessRoleInventory/IQDHxfnyxJ_PTKTIYysDqssWAVj3YJCFsDb62MgYnRnRvfo?e=zcdOtl" TargetMode="External"/><Relationship Id="rId40" Type="http://schemas.openxmlformats.org/officeDocument/2006/relationships/hyperlink" Target="https://churchofjesuschrist.sharepoint.com/:w:/s/BYU-PathwayStudentSuccessRoleInventory/IQANGB82vwVpR7kWikzK32R6AcXDcnbDlXCI-F8G8MsOwZA?e=HYUBCa" TargetMode="External"/><Relationship Id="rId5" Type="http://schemas.openxmlformats.org/officeDocument/2006/relationships/hyperlink" Target="https://churchofjesuschrist.sharepoint.com/:w:/s/BYU-PathwayStudentSuccessRoleInventory/IQCJXq3iu29QSbfipK9hj10LAboUgNxbbxhiZixIQKvTths?e=d8h5fW" TargetMode="External"/><Relationship Id="rId15" Type="http://schemas.openxmlformats.org/officeDocument/2006/relationships/hyperlink" Target="https://churchofjesuschrist.sharepoint.com/:w:/s/BYU-PathwayStudentSuccessRoleInventory/IQDYXALjqBy9TqMnkrLzZPALAVRIDVcR-t2zQ7_N6t_-sFI?e=OrqQzO" TargetMode="External"/><Relationship Id="rId23" Type="http://schemas.openxmlformats.org/officeDocument/2006/relationships/hyperlink" Target="https://churchofjesuschrist.sharepoint.com/:w:/s/BYU-PathwayStudentSuccessRoleInventory/IQAJCeQuk9fHTbFRX-_VINCFAXaStbvWN2DK4_tsSELnmmQ?e=UfES01" TargetMode="External"/><Relationship Id="rId28" Type="http://schemas.openxmlformats.org/officeDocument/2006/relationships/hyperlink" Target="https://churchofjesuschrist.sharepoint.com/:w:/s/BYU-PathwayStudentSuccessRoleInventory/IQAFWmgwRzlyR5zv2gsq5azrAXc2nfbXRXsAR85GuTJ0Ykw?e=lLfV4e" TargetMode="External"/><Relationship Id="rId36" Type="http://schemas.openxmlformats.org/officeDocument/2006/relationships/hyperlink" Target="https://churchofjesuschrist.sharepoint.com/:w:/s/BYU-PathwayStudentSuccessRoleInventory/IQBkQUDPjDkJQqGJR2uD02GvAZ2F5T3reRUi0tmNHnatB8c?e=em7vc2" TargetMode="External"/><Relationship Id="rId10" Type="http://schemas.openxmlformats.org/officeDocument/2006/relationships/hyperlink" Target="https://churchofjesuschrist.sharepoint.com/:w:/s/BYU-PathwayStudentSuccessRoleInventory/IQA_Pg4UzvhTS7QJCBFKoz33AfnpJQE-bSz0L_2WnenPqRk?e=fV14kS" TargetMode="External"/><Relationship Id="rId19" Type="http://schemas.openxmlformats.org/officeDocument/2006/relationships/hyperlink" Target="https://churchofjesuschrist.sharepoint.com/:w:/s/BYU-PathwayStudentSuccessRoleInventory/IQBy2LVzDoldRZisyIODLh8zAQMURc-jWPshlLW15i3qb1A?e=U7sRj2" TargetMode="External"/><Relationship Id="rId31" Type="http://schemas.openxmlformats.org/officeDocument/2006/relationships/hyperlink" Target="https://churchofjesuschrist.sharepoint.com/:w:/s/BYU-PathwayStudentSuccessRoleInventory/IQBwUBFZyWZaSLXU28SQe4_cAUirTYoW8S2Th63JomM1XhM?e=YVQEeX" TargetMode="External"/><Relationship Id="rId4" Type="http://schemas.openxmlformats.org/officeDocument/2006/relationships/hyperlink" Target="https://churchofjesuschrist.sharepoint.com/:w:/s/BYU-PathwayStudentSuccessRoleInventory/IQAGDpuAcq_uRJQfBo6jtQ6VAZzICKfHCBKlonY8DuoA5c0?e=uOPRI1" TargetMode="External"/><Relationship Id="rId9" Type="http://schemas.openxmlformats.org/officeDocument/2006/relationships/hyperlink" Target="https://churchofjesuschrist.sharepoint.com/:w:/s/BYU-PathwayStudentSuccessRoleInventory/IQDAfxv5-z3nRIuCZ8cuqVLrAetuZhsS26bV2B5GVKjLtkk?e=we7VuH" TargetMode="External"/><Relationship Id="rId14" Type="http://schemas.openxmlformats.org/officeDocument/2006/relationships/hyperlink" Target="https://churchofjesuschrist.sharepoint.com/:w:/s/BYU-PathwayStudentSuccessRoleInventory/IQBHJEF4d22UQ4TOTp6j8queASopK9ehmaq4-SfVdUQwo1g?e=qSPQFY" TargetMode="External"/><Relationship Id="rId22" Type="http://schemas.openxmlformats.org/officeDocument/2006/relationships/hyperlink" Target="https://churchofjesuschrist.sharepoint.com/:w:/s/BYU-PathwayStudentSuccessRoleInventory/IQAFhc5UkuwgTapnxWheHmYRAeUt6L6jGcomm-gS_hKDWbg?e=v2NPg4" TargetMode="External"/><Relationship Id="rId27" Type="http://schemas.openxmlformats.org/officeDocument/2006/relationships/hyperlink" Target="https://churchofjesuschrist.sharepoint.com/:w:/s/BYU-PathwayStudentSuccessRoleInventory/IQDw3EYyUChUSY3A6NON-yzTAbsZyYTV79vgs6HuVXn3KPM?e=eMTFQX" TargetMode="External"/><Relationship Id="rId30" Type="http://schemas.openxmlformats.org/officeDocument/2006/relationships/hyperlink" Target="https://churchofjesuschrist.sharepoint.com/:w:/s/BYU-PathwayStudentSuccessRoleInventory/IQCKoBX4HbZJRq7HLLXdBrCbAdvXS8PLZF0W8t-imhz4UV4?e=HLCnTw" TargetMode="External"/><Relationship Id="rId35" Type="http://schemas.openxmlformats.org/officeDocument/2006/relationships/hyperlink" Target="https://churchofjesuschrist.sharepoint.com/:w:/s/BYU-PathwayStudentSuccessRoleInventory/IQBaWG5YlOnKQrXGueyhBughAXBMduY1rLTdPM_7EobPwQo?e=e6Zd8q" TargetMode="External"/><Relationship Id="rId43" Type="http://schemas.openxmlformats.org/officeDocument/2006/relationships/hyperlink" Target="https://churchofjesuschrist.sharepoint.com/:w:/s/BYU-PathwayStudentSuccessRoleInventory/IQBkohdpEKodQoL-ghZzzwCRAQKlxkR8j_9LVGL0oGq1t5Y?e=8brGcT" TargetMode="External"/><Relationship Id="rId8" Type="http://schemas.openxmlformats.org/officeDocument/2006/relationships/hyperlink" Target="https://churchofjesuschrist.sharepoint.com/:w:/s/BYU-PathwayStudentSuccessRoleInventory/IQCZBbLkMAvERrRvFUiNIP8uAUhqA7Wc7H1tIJ0WisHWbLY?e=RulDks" TargetMode="External"/><Relationship Id="rId3" Type="http://schemas.openxmlformats.org/officeDocument/2006/relationships/hyperlink" Target="https://churchofjesuschrist.sharepoint.com/:w:/s/BYU-PathwayStudentSuccessRoleInventory/IQDM61NrXoIgTZn7hTXqXYRFAT-HAogly8tB9cq40Uvl0dk?e=9icL1c" TargetMode="External"/><Relationship Id="rId12" Type="http://schemas.openxmlformats.org/officeDocument/2006/relationships/hyperlink" Target="https://churchofjesuschrist.sharepoint.com/:w:/s/BYU-PathwayStudentSuccessRoleInventory/IQCr-O7RTvhPRaqywK1WC3PeAfbXS3wjfPjtPewsh_8PD3M?e=5EgIUj" TargetMode="External"/><Relationship Id="rId17" Type="http://schemas.openxmlformats.org/officeDocument/2006/relationships/hyperlink" Target="https://churchofjesuschrist.sharepoint.com/:w:/s/BYU-PathwayStudentSuccessRoleInventory/IQAw0JzSy0-_SJwGTk9TEoL5AfQPAV9g6j-Z3Q3eUX_PAaY?e=flOOTM" TargetMode="External"/><Relationship Id="rId25" Type="http://schemas.openxmlformats.org/officeDocument/2006/relationships/hyperlink" Target="https://churchofjesuschrist.sharepoint.com/:w:/s/BYU-PathwayStudentSuccessRoleInventory/IQBQz2AWfHg4QLr-tLfqWB5OAfGlKm815bIjKlysE6sH3XU?e=12zTcP" TargetMode="External"/><Relationship Id="rId33" Type="http://schemas.openxmlformats.org/officeDocument/2006/relationships/hyperlink" Target="https://churchofjesuschrist.sharepoint.com/:w:/s/BYU-PathwayStudentSuccessRoleInventory/IQAAwTC8MOIqQIkj0G04BRqGAc9Y9taAUl9NY_6ZfIDUJ4Y?e=hfFaGg" TargetMode="External"/><Relationship Id="rId38" Type="http://schemas.openxmlformats.org/officeDocument/2006/relationships/hyperlink" Target="https://churchofjesuschrist.sharepoint.com/:w:/s/BYU-PathwayStudentSuccessRoleInventory/IQDM5kWdtj6eTobfhfYTnaukATgc2h46N2asN0nMbPnj9eA?e=vikaN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04C5-BB37-4C05-BD10-19820CA091B1}">
  <sheetPr>
    <tabColor rgb="FFFFC328"/>
  </sheetPr>
  <dimension ref="A1:R23"/>
  <sheetViews>
    <sheetView showGridLines="0" tabSelected="1" topLeftCell="C1" workbookViewId="0">
      <selection activeCell="G5" sqref="G5:L6"/>
    </sheetView>
  </sheetViews>
  <sheetFormatPr defaultRowHeight="15"/>
  <cols>
    <col min="1" max="1" width="2.28515625" customWidth="1"/>
    <col min="2" max="2" width="5.42578125" customWidth="1"/>
    <col min="3" max="3" width="4.5703125" customWidth="1"/>
    <col min="4" max="4" width="21.85546875" customWidth="1"/>
    <col min="5" max="5" width="12.42578125" customWidth="1"/>
    <col min="6" max="6" width="3.5703125" customWidth="1"/>
    <col min="9" max="9" width="4.140625" customWidth="1"/>
    <col min="10" max="10" width="10.28515625" customWidth="1"/>
    <col min="11" max="11" width="11" customWidth="1"/>
    <col min="12" max="12" width="3.5703125" customWidth="1"/>
    <col min="13" max="13" width="6.28515625" customWidth="1"/>
    <col min="14" max="14" width="3" customWidth="1"/>
    <col min="15" max="15" width="37" customWidth="1"/>
    <col min="16" max="16" width="58.28515625" style="10" customWidth="1"/>
    <col min="17" max="17" width="24.140625" customWidth="1"/>
    <col min="18" max="18" width="18.140625" customWidth="1"/>
    <col min="19" max="19" width="20.28515625" customWidth="1"/>
  </cols>
  <sheetData>
    <row r="1" spans="1:18">
      <c r="A1" s="10"/>
      <c r="P1"/>
    </row>
    <row r="2" spans="1:18" ht="18" customHeight="1">
      <c r="B2" s="25"/>
      <c r="C2" s="26"/>
      <c r="D2" s="26"/>
      <c r="E2" s="26"/>
      <c r="F2" s="26"/>
      <c r="G2" s="26"/>
      <c r="H2" s="26"/>
      <c r="I2" s="26"/>
      <c r="J2" s="26"/>
      <c r="K2" s="26"/>
      <c r="L2" s="26"/>
      <c r="M2" s="27"/>
      <c r="O2" s="74" t="s">
        <v>0</v>
      </c>
      <c r="P2" s="74"/>
      <c r="Q2" s="74"/>
      <c r="R2" s="74"/>
    </row>
    <row r="3" spans="1:18" ht="21.75" customHeight="1">
      <c r="B3" s="28"/>
      <c r="C3" s="79" t="s">
        <v>1</v>
      </c>
      <c r="D3" s="79"/>
      <c r="E3" s="79"/>
      <c r="F3" s="79"/>
      <c r="G3" s="79"/>
      <c r="H3" s="79"/>
      <c r="I3" s="79"/>
      <c r="J3" s="79"/>
      <c r="K3" s="79"/>
      <c r="L3" s="79"/>
      <c r="M3" s="29"/>
      <c r="O3" s="14" t="s">
        <v>2</v>
      </c>
      <c r="P3" s="14" t="s">
        <v>3</v>
      </c>
      <c r="Q3" s="14" t="s">
        <v>4</v>
      </c>
      <c r="R3" s="14" t="s">
        <v>5</v>
      </c>
    </row>
    <row r="4" spans="1:18">
      <c r="B4" s="28"/>
      <c r="M4" s="29"/>
      <c r="O4" s="10" t="str" cm="1">
        <f t="array" ref="O4:R23">IFERROR(
  _xlfn._xlws.FILTER(
    _xlfn.HSTACK(
      MasterDirectory[NAME],
      MasterDirectory[ROLE],
      MasterDirectory[PRIMARY STAKEHOLDER],MasterDirectory[EMPLOYMENT TYPE]
    ),
    (MasterDirectory[DEPARTMENT]=G5) *
    IF($G$7="All", 1, (MasterDirectory[SUB DEPT]=$G$7))
  ),
  ""
)</f>
        <v>Gisele Loisotto</v>
      </c>
      <c r="P4" s="10" t="str">
        <v>Dean of Students Office Specialist</v>
      </c>
      <c r="Q4" t="str">
        <v>Sandra Wurttele</v>
      </c>
      <c r="R4" t="str">
        <v>Professional Contractor</v>
      </c>
    </row>
    <row r="5" spans="1:18" ht="15" customHeight="1">
      <c r="B5" s="28"/>
      <c r="D5" s="78" t="s">
        <v>6</v>
      </c>
      <c r="E5" s="78"/>
      <c r="F5" s="48"/>
      <c r="G5" s="80" t="s">
        <v>7</v>
      </c>
      <c r="H5" s="80"/>
      <c r="I5" s="80"/>
      <c r="J5" s="80"/>
      <c r="K5" s="80"/>
      <c r="L5" s="80"/>
      <c r="M5" s="29"/>
      <c r="O5" s="10" t="str">
        <v xml:space="preserve">Sandra Wurttele </v>
      </c>
      <c r="P5" s="10" t="str">
        <v xml:space="preserve">Accessibility Office Coordinator </v>
      </c>
      <c r="Q5" t="str">
        <v>Anne Marie Clark</v>
      </c>
      <c r="R5" t="str">
        <v>Professional Contractor</v>
      </c>
    </row>
    <row r="6" spans="1:18" ht="15" customHeight="1">
      <c r="B6" s="28"/>
      <c r="D6" s="78"/>
      <c r="E6" s="78"/>
      <c r="F6" s="48"/>
      <c r="G6" s="80"/>
      <c r="H6" s="80"/>
      <c r="I6" s="80"/>
      <c r="J6" s="80"/>
      <c r="K6" s="80"/>
      <c r="L6" s="80"/>
      <c r="M6" s="29"/>
      <c r="O6" s="10" t="str">
        <v>Ana de Castro</v>
      </c>
      <c r="P6" s="10" t="str">
        <v xml:space="preserve">Office of Belonging Coordinator </v>
      </c>
      <c r="Q6" t="str">
        <v>Anne Marie Clark</v>
      </c>
      <c r="R6" t="str">
        <v>Professional Contractor</v>
      </c>
    </row>
    <row r="7" spans="1:18" ht="15" customHeight="1">
      <c r="B7" s="28"/>
      <c r="D7" s="81" t="s">
        <v>8</v>
      </c>
      <c r="E7" s="81"/>
      <c r="F7" s="48"/>
      <c r="G7" s="77" t="s">
        <v>9</v>
      </c>
      <c r="H7" s="77"/>
      <c r="I7" s="77"/>
      <c r="J7" s="77"/>
      <c r="K7" s="77"/>
      <c r="L7" s="77"/>
      <c r="M7" s="29"/>
      <c r="O7" s="10" t="str">
        <v>Mariela Pezzali</v>
      </c>
      <c r="P7" s="10" t="str">
        <v>Project Manager</v>
      </c>
      <c r="Q7" t="str">
        <v>Steven K. Thomas</v>
      </c>
      <c r="R7" t="str">
        <v>Professional Contractor</v>
      </c>
    </row>
    <row r="8" spans="1:18" ht="14.25" customHeight="1">
      <c r="B8" s="28"/>
      <c r="M8" s="29"/>
      <c r="O8" s="10" t="str">
        <v>Joseph Bentum</v>
      </c>
      <c r="P8" s="10" t="str">
        <v xml:space="preserve">Student Crisis Office Coordinator </v>
      </c>
      <c r="Q8" t="str">
        <v>Anne Marie Clark</v>
      </c>
      <c r="R8" t="str">
        <v>Professional Contractor</v>
      </c>
    </row>
    <row r="9" spans="1:18">
      <c r="B9" s="28"/>
      <c r="C9" s="33"/>
      <c r="D9" s="34"/>
      <c r="E9" s="34"/>
      <c r="F9" s="34"/>
      <c r="G9" s="34"/>
      <c r="H9" s="34"/>
      <c r="I9" s="34"/>
      <c r="J9" s="34"/>
      <c r="K9" s="34"/>
      <c r="L9" s="35"/>
      <c r="M9" s="29"/>
      <c r="O9" s="10" t="str">
        <v>Ana Clara Lopes</v>
      </c>
      <c r="P9" s="10" t="str">
        <v>Dean of Students Office Specialist</v>
      </c>
      <c r="Q9" t="str">
        <v>Joseph Bentum</v>
      </c>
      <c r="R9" t="str">
        <v>Professional Contractor</v>
      </c>
    </row>
    <row r="10" spans="1:18">
      <c r="B10" s="28"/>
      <c r="C10" s="44"/>
      <c r="D10" s="38"/>
      <c r="E10" s="38"/>
      <c r="F10" s="45"/>
      <c r="G10" s="38"/>
      <c r="H10" s="38"/>
      <c r="I10" s="38"/>
      <c r="J10" s="38"/>
      <c r="K10" s="37"/>
      <c r="L10" s="39"/>
      <c r="M10" s="29"/>
      <c r="O10" s="10" t="str">
        <v>Lawrence Genesis Onyeisi</v>
      </c>
      <c r="P10" s="10" t="str">
        <v>Dean of Students Office Specialist</v>
      </c>
      <c r="Q10" t="str">
        <v>Katelyn Ray</v>
      </c>
      <c r="R10" t="str">
        <v>Professional Contractor</v>
      </c>
    </row>
    <row r="11" spans="1:18">
      <c r="B11" s="28"/>
      <c r="C11" s="44"/>
      <c r="D11" s="51" t="s">
        <v>10</v>
      </c>
      <c r="E11" s="51" t="s">
        <v>11</v>
      </c>
      <c r="F11" s="46"/>
      <c r="G11" s="37"/>
      <c r="H11" s="38"/>
      <c r="I11" s="38"/>
      <c r="J11" s="38"/>
      <c r="K11" s="38"/>
      <c r="L11" s="40"/>
      <c r="M11" s="29"/>
      <c r="O11" s="10" t="str">
        <v>Ariana Ester Manley Mejia</v>
      </c>
      <c r="P11" s="10" t="str">
        <v>Dean of Students Office Specialist</v>
      </c>
      <c r="Q11" t="str">
        <v>Sandra Wurttele</v>
      </c>
      <c r="R11" t="str">
        <v>Professional Contractor</v>
      </c>
    </row>
    <row r="12" spans="1:18">
      <c r="B12" s="28"/>
      <c r="C12" s="44"/>
      <c r="D12" s="49" t="s">
        <v>12</v>
      </c>
      <c r="E12" s="50">
        <f>IF($G$7="All",
  COUNTIFS(MasterDirectory[EMPLOYMENT TYPE],"Full-Time Employee",MasterDirectory[DEPARTMENT],$G$5),
  COUNTIFS(MasterDirectory[EMPLOYMENT TYPE],"Full-Time Employee",MasterDirectory[DEPARTMENT],$G$5,MasterDirectory[SUB DEPT],$G$7)
)</f>
        <v>3</v>
      </c>
      <c r="F12" s="46"/>
      <c r="G12" s="38"/>
      <c r="H12" s="38"/>
      <c r="I12" s="38"/>
      <c r="J12" s="76" t="s">
        <v>13</v>
      </c>
      <c r="K12" s="76"/>
      <c r="L12" s="40"/>
      <c r="M12" s="29"/>
      <c r="O12" s="10" t="str">
        <v>Jarom Nascimento</v>
      </c>
      <c r="P12" s="10" t="str">
        <v>Dean of Students Office Specialist</v>
      </c>
      <c r="Q12" t="str">
        <v>Sandra Wurttele</v>
      </c>
      <c r="R12" t="str">
        <v>Professional Contractor</v>
      </c>
    </row>
    <row r="13" spans="1:18">
      <c r="B13" s="28"/>
      <c r="C13" s="44"/>
      <c r="D13" s="49" t="s">
        <v>14</v>
      </c>
      <c r="E13" s="50">
        <f>IF($G$7="All",
  COUNTIFS(MasterDirectory[EMPLOYMENT TYPE],"Full-Time Temporary",MasterDirectory[DEPARTMENT],$G$5),
  COUNTIFS(MasterDirectory[EMPLOYMENT TYPE],"Full-Time Temporary",MasterDirectory[DEPARTMENT],$G$5,MasterDirectory[SUB DEPT],$G$7)
)</f>
        <v>0</v>
      </c>
      <c r="F13" s="46"/>
      <c r="G13" s="38"/>
      <c r="H13" s="38"/>
      <c r="I13" s="38"/>
      <c r="J13" s="75">
        <f>E18</f>
        <v>20</v>
      </c>
      <c r="K13" s="75"/>
      <c r="L13" s="40"/>
      <c r="M13" s="29"/>
      <c r="O13" s="10" t="str">
        <v>Helen Segalla de Oliveira Rebouças</v>
      </c>
      <c r="P13" s="10" t="str">
        <v>Student Grievance Coordinator</v>
      </c>
      <c r="Q13" t="str">
        <v>Anne Marie Clark</v>
      </c>
      <c r="R13" t="str">
        <v>Professional Contractor</v>
      </c>
    </row>
    <row r="14" spans="1:18">
      <c r="B14" s="28"/>
      <c r="C14" s="44"/>
      <c r="D14" s="49" t="s">
        <v>15</v>
      </c>
      <c r="E14" s="50">
        <f>IF($G$7="All",
  COUNTIFS(MasterDirectory[EMPLOYMENT TYPE],"Part-Time Temporary",MasterDirectory[DEPARTMENT],$G$5),
  COUNTIFS(MasterDirectory[EMPLOYMENT TYPE],"Part-Time Temporary",MasterDirectory[DEPARTMENT],$G$5,MasterDirectory[SUB DEPT],$G$7)
)</f>
        <v>0</v>
      </c>
      <c r="F14" s="46"/>
      <c r="G14" s="38"/>
      <c r="H14" s="38"/>
      <c r="I14" s="38"/>
      <c r="J14" s="75"/>
      <c r="K14" s="75"/>
      <c r="L14" s="40"/>
      <c r="M14" s="29"/>
      <c r="O14" s="10" t="str">
        <v>Anne Marie Clark</v>
      </c>
      <c r="P14" s="10" t="str">
        <v>Associate Dean of Students</v>
      </c>
      <c r="Q14" t="str">
        <v>Steven K. Thomas</v>
      </c>
      <c r="R14" t="str">
        <v>Full-Time Employee</v>
      </c>
    </row>
    <row r="15" spans="1:18">
      <c r="B15" s="28"/>
      <c r="C15" s="44"/>
      <c r="D15" s="49" t="s">
        <v>16</v>
      </c>
      <c r="E15" s="50">
        <f>IF($G$7="All",
  COUNTIFS(Table4[JOB NAME],"Student Employee",Table4[Dept],$G$5),
  COUNTIFS(Table4[JOB NAME],"Student Employee",Table4[Dept],$G$5,Table4[Sub-Dept],$G$7))</f>
        <v>0</v>
      </c>
      <c r="F15" s="46"/>
      <c r="G15" s="38"/>
      <c r="H15" s="38"/>
      <c r="I15" s="38"/>
      <c r="J15" s="75"/>
      <c r="K15" s="75"/>
      <c r="L15" s="40"/>
      <c r="M15" s="29"/>
      <c r="O15" s="10" t="str">
        <v>Steven K. Thomas</v>
      </c>
      <c r="P15" s="10" t="str">
        <v>Dean of Students</v>
      </c>
      <c r="Q15" t="str">
        <v>VP of Student Services</v>
      </c>
      <c r="R15" t="str">
        <v>Full-Time Employee</v>
      </c>
    </row>
    <row r="16" spans="1:18" ht="14.25" customHeight="1">
      <c r="B16" s="28"/>
      <c r="C16" s="44"/>
      <c r="D16" s="49" t="s">
        <v>17</v>
      </c>
      <c r="E16" s="50">
        <f>IF($G$7="All",
  COUNTIFS(MasterDirectory[EMPLOYMENT TYPE],"Professional Contractor",MasterDirectory[DEPARTMENT],$G$5),
  COUNTIFS(MasterDirectory[EMPLOYMENT TYPE],"Professional Contractor",MasterDirectory[DEPARTMENT],$G$5,MasterDirectory[SUB DEPT],$G$7)
)</f>
        <v>17</v>
      </c>
      <c r="F16" s="46"/>
      <c r="G16" s="38"/>
      <c r="H16" s="38"/>
      <c r="I16" s="38"/>
      <c r="J16" s="38"/>
      <c r="K16" s="38"/>
      <c r="L16" s="40"/>
      <c r="M16" s="29"/>
      <c r="O16" s="10" t="str">
        <v>Joseph Chingwara</v>
      </c>
      <c r="P16" s="10" t="str">
        <v>Dean of Students Office Specialist</v>
      </c>
      <c r="Q16" t="str">
        <v>Helen Segalla de Oliveira Rebouças</v>
      </c>
      <c r="R16" t="str">
        <v>Professional Contractor</v>
      </c>
    </row>
    <row r="17" spans="2:18">
      <c r="B17" s="28"/>
      <c r="C17" s="44"/>
      <c r="D17" s="52" t="s">
        <v>18</v>
      </c>
      <c r="E17" s="50">
        <f>_xlfn.XLOOKUP($G$5,'Employee Directory'!$L$7:$L$10,'Employee Directory'!$M$7:$M$10)</f>
        <v>0</v>
      </c>
      <c r="F17" s="46"/>
      <c r="G17" s="38"/>
      <c r="H17" s="38"/>
      <c r="I17" s="38"/>
      <c r="J17" s="38"/>
      <c r="K17" s="38"/>
      <c r="L17" s="40"/>
      <c r="M17" s="29"/>
      <c r="O17" s="10" t="str">
        <v>Ifunanya Queendalyn Okeke</v>
      </c>
      <c r="P17" s="10" t="str">
        <v>Dean of Students Office Specialist</v>
      </c>
      <c r="Q17" t="str">
        <v>Helen Segalla de Oliveira Rebouças</v>
      </c>
      <c r="R17" t="str">
        <v>Professional Contractor</v>
      </c>
    </row>
    <row r="18" spans="2:18">
      <c r="B18" s="28"/>
      <c r="C18" s="44"/>
      <c r="D18" s="49" t="s">
        <v>19</v>
      </c>
      <c r="E18" s="50">
        <f>SUM(E12:E17)</f>
        <v>20</v>
      </c>
      <c r="F18" s="47"/>
      <c r="G18" s="38"/>
      <c r="H18" s="38"/>
      <c r="I18" s="38"/>
      <c r="J18" s="38"/>
      <c r="K18" s="38"/>
      <c r="L18" s="40"/>
      <c r="M18" s="29"/>
      <c r="O18" t="str">
        <v>Wesley dos Santos</v>
      </c>
      <c r="P18" s="10" t="str">
        <v>Dean of Students Office Specialist</v>
      </c>
      <c r="Q18" t="str">
        <v>Helen Segalla de Oliveira Rebouças</v>
      </c>
      <c r="R18" t="str">
        <v>Professional Contractor</v>
      </c>
    </row>
    <row r="19" spans="2:18">
      <c r="B19" s="28"/>
      <c r="C19" s="36"/>
      <c r="D19" s="38"/>
      <c r="E19" s="38"/>
      <c r="F19" s="38"/>
      <c r="G19" s="38"/>
      <c r="H19" s="38"/>
      <c r="I19" s="38"/>
      <c r="J19" s="38"/>
      <c r="K19" s="38"/>
      <c r="L19" s="40"/>
      <c r="M19" s="29"/>
      <c r="O19" t="str">
        <v>Katelyn Ray</v>
      </c>
      <c r="P19" s="10" t="str">
        <v>Student Honor &amp; Conduct Coordinator</v>
      </c>
      <c r="Q19" t="str">
        <v>Anne Marie Clark</v>
      </c>
      <c r="R19" t="str">
        <v>Full-Time Employee</v>
      </c>
    </row>
    <row r="20" spans="2:18">
      <c r="B20" s="28"/>
      <c r="C20" s="41"/>
      <c r="D20" s="42"/>
      <c r="E20" s="42"/>
      <c r="F20" s="42"/>
      <c r="G20" s="42"/>
      <c r="H20" s="42"/>
      <c r="I20" s="42"/>
      <c r="J20" s="42"/>
      <c r="K20" s="42"/>
      <c r="L20" s="43"/>
      <c r="M20" s="29"/>
      <c r="O20" t="str">
        <v>Scott Appiah</v>
      </c>
      <c r="P20" s="10" t="str">
        <v>Dean of Students Office Specialist</v>
      </c>
      <c r="Q20" t="str">
        <v>Joseph Bentum</v>
      </c>
      <c r="R20" t="str">
        <v>Professional Contractor</v>
      </c>
    </row>
    <row r="21" spans="2:18" ht="15" customHeight="1">
      <c r="B21" s="30"/>
      <c r="C21" s="31"/>
      <c r="D21" s="31"/>
      <c r="E21" s="31"/>
      <c r="F21" s="31"/>
      <c r="G21" s="31"/>
      <c r="H21" s="31"/>
      <c r="I21" s="31"/>
      <c r="J21" s="31"/>
      <c r="K21" s="31"/>
      <c r="L21" s="31"/>
      <c r="M21" s="32"/>
      <c r="O21" t="str">
        <v>Tubo-Oreriba Joseph Elisha</v>
      </c>
      <c r="P21" s="10" t="str">
        <v>Dean of Students Office Specialist</v>
      </c>
      <c r="Q21" t="str">
        <v>Joseph Bentum</v>
      </c>
      <c r="R21" t="str">
        <v>Professional Contractor</v>
      </c>
    </row>
    <row r="22" spans="2:18">
      <c r="O22" t="str">
        <v>Israel Juzgaya</v>
      </c>
      <c r="P22" s="10" t="str">
        <v>Dean of Students Office Specialist</v>
      </c>
      <c r="Q22" t="str">
        <v>Katelyn Ray</v>
      </c>
      <c r="R22" t="str">
        <v>Professional Contractor</v>
      </c>
    </row>
    <row r="23" spans="2:18">
      <c r="O23" t="str">
        <v>Rhoda Mabundu</v>
      </c>
      <c r="P23" s="10" t="str">
        <v>Dean of Students Office Specialist</v>
      </c>
      <c r="Q23" t="str">
        <v>Katelyn Ray</v>
      </c>
      <c r="R23" t="str">
        <v>Professional Contractor</v>
      </c>
    </row>
  </sheetData>
  <sheetProtection sheet="1" objects="1" scenarios="1"/>
  <protectedRanges>
    <protectedRange sqref="G5:L7" name="Range1"/>
  </protectedRanges>
  <autoFilter ref="O3:R3" xr:uid="{AE1004C5-BB37-4C05-BD10-19820CA091B1}"/>
  <mergeCells count="8">
    <mergeCell ref="O2:R2"/>
    <mergeCell ref="J13:K15"/>
    <mergeCell ref="J12:K12"/>
    <mergeCell ref="G7:L7"/>
    <mergeCell ref="D5:E6"/>
    <mergeCell ref="C3:L3"/>
    <mergeCell ref="G5:L6"/>
    <mergeCell ref="D7:E7"/>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DCFD3E7-A502-4DF1-9D50-9C5EDFD2720A}">
          <x14:formula1>
            <xm:f>Control!$H$3:$H$16</xm:f>
          </x14:formula1>
          <xm:sqref>G7:L7</xm:sqref>
        </x14:dataValidation>
        <x14:dataValidation type="list" showInputMessage="1" showErrorMessage="1" xr:uid="{4BA56633-927A-492C-8468-9EBCD19AF09A}">
          <x14:formula1>
            <xm:f>Control!$B$3:$B$25</xm:f>
          </x14:formula1>
          <xm:sqref>G5:L6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9E1E-5023-4E15-9405-F084340FD8A7}">
  <sheetPr>
    <tabColor rgb="FF0A1E26"/>
  </sheetPr>
  <dimension ref="A1:U112"/>
  <sheetViews>
    <sheetView workbookViewId="0">
      <pane ySplit="6" topLeftCell="M7" activePane="bottomLeft" state="frozen"/>
      <selection pane="bottomLeft" activeCell="C113" sqref="C113"/>
    </sheetView>
  </sheetViews>
  <sheetFormatPr defaultRowHeight="22.5" customHeight="1"/>
  <cols>
    <col min="1" max="1" width="4" customWidth="1"/>
    <col min="2" max="2" width="8.85546875" bestFit="1" customWidth="1"/>
    <col min="3" max="3" width="38" customWidth="1"/>
    <col min="4" max="4" width="49.140625" customWidth="1"/>
    <col min="5" max="5" width="29.5703125" bestFit="1" customWidth="1"/>
    <col min="6" max="6" width="23" bestFit="1" customWidth="1"/>
    <col min="7" max="7" width="30.5703125" customWidth="1"/>
    <col min="8" max="8" width="33.7109375" customWidth="1"/>
    <col min="9" max="9" width="30" customWidth="1"/>
    <col min="10" max="10" width="10.5703125" customWidth="1"/>
    <col min="12" max="12" width="29.5703125" bestFit="1" customWidth="1"/>
    <col min="13" max="13" width="31.140625" customWidth="1"/>
    <col min="16" max="16" width="30.5703125" bestFit="1" customWidth="1"/>
    <col min="17" max="17" width="23.28515625" bestFit="1" customWidth="1"/>
    <col min="18" max="18" width="37" bestFit="1" customWidth="1"/>
    <col min="19" max="19" width="23.7109375" bestFit="1" customWidth="1"/>
    <col min="20" max="20" width="16.85546875" bestFit="1" customWidth="1"/>
    <col min="21" max="21" width="29.5703125" bestFit="1" customWidth="1"/>
  </cols>
  <sheetData>
    <row r="1" spans="1:21" ht="22.5" customHeight="1">
      <c r="A1" s="1"/>
      <c r="B1" s="82" t="s">
        <v>20</v>
      </c>
      <c r="C1" s="98"/>
      <c r="D1" s="98"/>
      <c r="E1" s="98"/>
      <c r="F1" s="1"/>
    </row>
    <row r="2" spans="1:21" ht="22.5" customHeight="1">
      <c r="A2" s="2"/>
      <c r="B2" s="83" t="s">
        <v>21</v>
      </c>
      <c r="C2" s="98"/>
      <c r="D2" s="98"/>
      <c r="E2" s="98"/>
      <c r="F2" s="2"/>
    </row>
    <row r="3" spans="1:21" ht="7.5" customHeight="1"/>
    <row r="4" spans="1:21" ht="22.5" customHeight="1">
      <c r="B4" s="3" t="s">
        <v>22</v>
      </c>
      <c r="C4" s="4" t="s">
        <v>23</v>
      </c>
      <c r="D4" s="5" t="s">
        <v>24</v>
      </c>
      <c r="E4" s="6" t="s">
        <v>25</v>
      </c>
      <c r="F4" s="62" t="s">
        <v>17</v>
      </c>
    </row>
    <row r="5" spans="1:21" ht="12" customHeight="1"/>
    <row r="6" spans="1:21" s="7" customFormat="1" ht="24" customHeight="1">
      <c r="B6" s="24" t="s">
        <v>26</v>
      </c>
      <c r="C6" s="24" t="s">
        <v>2</v>
      </c>
      <c r="D6" s="24" t="s">
        <v>3</v>
      </c>
      <c r="E6" s="24" t="s">
        <v>27</v>
      </c>
      <c r="F6" s="24" t="s">
        <v>28</v>
      </c>
      <c r="G6" s="24" t="s">
        <v>4</v>
      </c>
      <c r="H6" s="24" t="s">
        <v>29</v>
      </c>
      <c r="I6" s="24" t="s">
        <v>30</v>
      </c>
      <c r="J6" s="24" t="s">
        <v>31</v>
      </c>
      <c r="L6" s="68" t="s">
        <v>32</v>
      </c>
      <c r="M6" s="73" t="s">
        <v>33</v>
      </c>
      <c r="P6" s="7" t="s">
        <v>34</v>
      </c>
      <c r="Q6" s="7" t="s">
        <v>35</v>
      </c>
      <c r="R6" s="7" t="s">
        <v>36</v>
      </c>
      <c r="S6" s="7" t="s">
        <v>37</v>
      </c>
      <c r="T6" s="7" t="s">
        <v>38</v>
      </c>
      <c r="U6" s="7" t="s">
        <v>32</v>
      </c>
    </row>
    <row r="7" spans="1:21" ht="30" customHeight="1">
      <c r="B7" s="63"/>
      <c r="C7" s="16" t="s">
        <v>39</v>
      </c>
      <c r="D7" s="16" t="s">
        <v>40</v>
      </c>
      <c r="E7" s="16" t="s">
        <v>7</v>
      </c>
      <c r="F7" s="16" t="s">
        <v>17</v>
      </c>
      <c r="G7" s="16" t="s">
        <v>41</v>
      </c>
      <c r="H7" s="16" t="s">
        <v>42</v>
      </c>
      <c r="I7" s="16" t="s">
        <v>43</v>
      </c>
      <c r="J7" s="16">
        <v>3</v>
      </c>
      <c r="L7" s="64" t="s">
        <v>7</v>
      </c>
      <c r="M7" s="65">
        <v>0</v>
      </c>
      <c r="P7" t="s">
        <v>44</v>
      </c>
      <c r="Q7" t="s">
        <v>16</v>
      </c>
      <c r="R7" t="s">
        <v>45</v>
      </c>
      <c r="S7" t="s">
        <v>46</v>
      </c>
      <c r="T7" t="s">
        <v>47</v>
      </c>
      <c r="U7" t="s">
        <v>48</v>
      </c>
    </row>
    <row r="8" spans="1:21" ht="22.5" customHeight="1">
      <c r="B8" s="63"/>
      <c r="C8" s="16" t="s">
        <v>49</v>
      </c>
      <c r="D8" s="16" t="s">
        <v>50</v>
      </c>
      <c r="E8" s="16" t="s">
        <v>7</v>
      </c>
      <c r="F8" s="16" t="s">
        <v>17</v>
      </c>
      <c r="G8" s="16" t="s">
        <v>51</v>
      </c>
      <c r="H8" s="16" t="s">
        <v>52</v>
      </c>
      <c r="I8" s="16" t="s">
        <v>53</v>
      </c>
      <c r="J8" s="16" t="s">
        <v>54</v>
      </c>
      <c r="L8" s="64" t="s">
        <v>55</v>
      </c>
      <c r="M8" s="65">
        <v>0</v>
      </c>
      <c r="P8" t="s">
        <v>56</v>
      </c>
      <c r="Q8" t="s">
        <v>16</v>
      </c>
      <c r="R8" t="s">
        <v>57</v>
      </c>
      <c r="S8" t="s">
        <v>58</v>
      </c>
      <c r="T8" t="s">
        <v>59</v>
      </c>
      <c r="U8" t="s">
        <v>60</v>
      </c>
    </row>
    <row r="9" spans="1:21" ht="22.5" customHeight="1">
      <c r="B9" s="63"/>
      <c r="C9" s="16" t="s">
        <v>61</v>
      </c>
      <c r="D9" s="16" t="s">
        <v>62</v>
      </c>
      <c r="E9" s="16" t="s">
        <v>7</v>
      </c>
      <c r="F9" s="16" t="s">
        <v>17</v>
      </c>
      <c r="G9" s="16" t="s">
        <v>51</v>
      </c>
      <c r="H9" s="16" t="s">
        <v>52</v>
      </c>
      <c r="I9" s="16" t="s">
        <v>53</v>
      </c>
      <c r="J9" s="16" t="s">
        <v>54</v>
      </c>
      <c r="L9" s="64" t="s">
        <v>48</v>
      </c>
      <c r="M9" s="65">
        <v>455</v>
      </c>
      <c r="P9" t="s">
        <v>63</v>
      </c>
      <c r="Q9" t="s">
        <v>16</v>
      </c>
      <c r="R9" t="s">
        <v>64</v>
      </c>
      <c r="S9" t="s">
        <v>64</v>
      </c>
      <c r="T9" t="s">
        <v>65</v>
      </c>
      <c r="U9" t="s">
        <v>55</v>
      </c>
    </row>
    <row r="10" spans="1:21" ht="22.5" customHeight="1">
      <c r="B10" s="63"/>
      <c r="C10" s="16" t="s">
        <v>66</v>
      </c>
      <c r="D10" s="16" t="s">
        <v>67</v>
      </c>
      <c r="E10" s="16" t="s">
        <v>7</v>
      </c>
      <c r="F10" s="16" t="s">
        <v>17</v>
      </c>
      <c r="G10" s="16" t="s">
        <v>68</v>
      </c>
      <c r="H10" s="16" t="s">
        <v>52</v>
      </c>
      <c r="I10" s="16" t="s">
        <v>43</v>
      </c>
      <c r="J10" s="16">
        <v>3.5</v>
      </c>
      <c r="L10" s="66" t="s">
        <v>60</v>
      </c>
      <c r="M10" s="67">
        <v>338</v>
      </c>
      <c r="P10" t="s">
        <v>69</v>
      </c>
      <c r="Q10" t="s">
        <v>16</v>
      </c>
      <c r="R10" t="s">
        <v>70</v>
      </c>
      <c r="S10" t="s">
        <v>58</v>
      </c>
      <c r="T10" t="s">
        <v>71</v>
      </c>
      <c r="U10" t="s">
        <v>60</v>
      </c>
    </row>
    <row r="11" spans="1:21" ht="31.5" customHeight="1">
      <c r="B11" s="63"/>
      <c r="C11" s="16" t="s">
        <v>72</v>
      </c>
      <c r="D11" s="16" t="s">
        <v>73</v>
      </c>
      <c r="E11" s="16" t="s">
        <v>7</v>
      </c>
      <c r="F11" s="16" t="s">
        <v>17</v>
      </c>
      <c r="G11" s="16" t="s">
        <v>51</v>
      </c>
      <c r="H11" s="16" t="s">
        <v>52</v>
      </c>
      <c r="I11" s="16" t="s">
        <v>74</v>
      </c>
      <c r="J11" s="16" t="s">
        <v>54</v>
      </c>
      <c r="P11" t="s">
        <v>75</v>
      </c>
      <c r="Q11" t="s">
        <v>16</v>
      </c>
      <c r="R11" t="s">
        <v>76</v>
      </c>
      <c r="S11" t="s">
        <v>58</v>
      </c>
      <c r="T11" t="s">
        <v>77</v>
      </c>
      <c r="U11" t="s">
        <v>60</v>
      </c>
    </row>
    <row r="12" spans="1:21" ht="31.5" customHeight="1">
      <c r="B12" s="63"/>
      <c r="C12" s="16" t="s">
        <v>78</v>
      </c>
      <c r="D12" s="16" t="s">
        <v>40</v>
      </c>
      <c r="E12" s="16" t="s">
        <v>7</v>
      </c>
      <c r="F12" s="16" t="s">
        <v>17</v>
      </c>
      <c r="G12" s="16" t="s">
        <v>72</v>
      </c>
      <c r="H12" s="16" t="s">
        <v>79</v>
      </c>
      <c r="I12" s="16" t="s">
        <v>43</v>
      </c>
      <c r="J12" s="16">
        <v>3</v>
      </c>
      <c r="P12" t="s">
        <v>80</v>
      </c>
      <c r="Q12" t="s">
        <v>16</v>
      </c>
      <c r="R12" t="s">
        <v>81</v>
      </c>
      <c r="S12" t="s">
        <v>58</v>
      </c>
      <c r="T12" t="s">
        <v>59</v>
      </c>
      <c r="U12" t="s">
        <v>60</v>
      </c>
    </row>
    <row r="13" spans="1:21" ht="31.5" customHeight="1">
      <c r="B13" s="63"/>
      <c r="C13" s="16" t="s">
        <v>82</v>
      </c>
      <c r="D13" s="16" t="s">
        <v>40</v>
      </c>
      <c r="E13" s="16" t="s">
        <v>7</v>
      </c>
      <c r="F13" s="16" t="s">
        <v>17</v>
      </c>
      <c r="G13" s="16" t="s">
        <v>83</v>
      </c>
      <c r="H13" s="16" t="s">
        <v>84</v>
      </c>
      <c r="I13" s="16" t="s">
        <v>43</v>
      </c>
      <c r="J13" s="16">
        <v>3</v>
      </c>
      <c r="P13" t="s">
        <v>85</v>
      </c>
      <c r="Q13" t="s">
        <v>16</v>
      </c>
      <c r="R13" t="s">
        <v>76</v>
      </c>
      <c r="S13" t="s">
        <v>58</v>
      </c>
      <c r="T13" t="s">
        <v>77</v>
      </c>
      <c r="U13" t="s">
        <v>60</v>
      </c>
    </row>
    <row r="14" spans="1:21" ht="31.5" customHeight="1">
      <c r="B14" s="63"/>
      <c r="C14" s="16" t="s">
        <v>86</v>
      </c>
      <c r="D14" s="16" t="s">
        <v>40</v>
      </c>
      <c r="E14" s="16" t="s">
        <v>7</v>
      </c>
      <c r="F14" s="16" t="s">
        <v>17</v>
      </c>
      <c r="G14" s="16" t="s">
        <v>41</v>
      </c>
      <c r="H14" s="16" t="s">
        <v>42</v>
      </c>
      <c r="I14" s="16" t="s">
        <v>43</v>
      </c>
      <c r="J14" s="16">
        <v>3</v>
      </c>
      <c r="P14" t="s">
        <v>87</v>
      </c>
      <c r="Q14" t="s">
        <v>16</v>
      </c>
      <c r="R14" t="s">
        <v>88</v>
      </c>
      <c r="S14" t="s">
        <v>58</v>
      </c>
      <c r="T14" t="s">
        <v>89</v>
      </c>
      <c r="U14" t="s">
        <v>60</v>
      </c>
    </row>
    <row r="15" spans="1:21" ht="31.5" customHeight="1">
      <c r="B15" s="63"/>
      <c r="C15" s="16" t="s">
        <v>90</v>
      </c>
      <c r="D15" s="16" t="s">
        <v>40</v>
      </c>
      <c r="E15" s="16" t="s">
        <v>7</v>
      </c>
      <c r="F15" s="16" t="s">
        <v>17</v>
      </c>
      <c r="G15" s="16" t="s">
        <v>41</v>
      </c>
      <c r="H15" s="16" t="s">
        <v>42</v>
      </c>
      <c r="I15" s="16" t="s">
        <v>43</v>
      </c>
      <c r="J15" s="16">
        <v>3</v>
      </c>
      <c r="P15" t="s">
        <v>91</v>
      </c>
      <c r="Q15" t="s">
        <v>16</v>
      </c>
      <c r="R15" t="s">
        <v>92</v>
      </c>
      <c r="S15" t="s">
        <v>58</v>
      </c>
      <c r="T15" t="s">
        <v>77</v>
      </c>
      <c r="U15" t="s">
        <v>60</v>
      </c>
    </row>
    <row r="16" spans="1:21" ht="30" customHeight="1">
      <c r="B16" s="63"/>
      <c r="C16" s="16" t="s">
        <v>93</v>
      </c>
      <c r="D16" s="16" t="s">
        <v>94</v>
      </c>
      <c r="E16" s="16" t="s">
        <v>7</v>
      </c>
      <c r="F16" s="16" t="s">
        <v>17</v>
      </c>
      <c r="G16" s="16" t="s">
        <v>51</v>
      </c>
      <c r="H16" s="16" t="s">
        <v>52</v>
      </c>
      <c r="I16" s="16" t="s">
        <v>43</v>
      </c>
      <c r="J16" s="16">
        <v>3.5</v>
      </c>
      <c r="P16" t="s">
        <v>95</v>
      </c>
      <c r="Q16" t="s">
        <v>16</v>
      </c>
      <c r="R16" t="s">
        <v>96</v>
      </c>
      <c r="S16" t="s">
        <v>58</v>
      </c>
      <c r="T16" t="s">
        <v>77</v>
      </c>
      <c r="U16" t="s">
        <v>60</v>
      </c>
    </row>
    <row r="17" spans="2:21" ht="22.5" customHeight="1">
      <c r="B17" s="63"/>
      <c r="C17" s="16" t="s">
        <v>51</v>
      </c>
      <c r="D17" s="15" t="s">
        <v>97</v>
      </c>
      <c r="E17" s="16" t="s">
        <v>7</v>
      </c>
      <c r="F17" s="16" t="s">
        <v>98</v>
      </c>
      <c r="G17" s="16" t="s">
        <v>68</v>
      </c>
      <c r="H17" s="16" t="s">
        <v>52</v>
      </c>
      <c r="I17" s="16"/>
      <c r="J17" s="16"/>
      <c r="P17" t="s">
        <v>99</v>
      </c>
      <c r="Q17" t="s">
        <v>16</v>
      </c>
      <c r="R17" t="s">
        <v>96</v>
      </c>
      <c r="S17" t="s">
        <v>58</v>
      </c>
      <c r="T17" t="s">
        <v>77</v>
      </c>
      <c r="U17" t="s">
        <v>60</v>
      </c>
    </row>
    <row r="18" spans="2:21" ht="22.5" customHeight="1">
      <c r="B18" s="63"/>
      <c r="C18" s="16" t="s">
        <v>68</v>
      </c>
      <c r="D18" s="15" t="s">
        <v>7</v>
      </c>
      <c r="E18" s="16" t="s">
        <v>7</v>
      </c>
      <c r="F18" s="16" t="s">
        <v>98</v>
      </c>
      <c r="G18" s="16" t="s">
        <v>100</v>
      </c>
      <c r="H18" s="16" t="s">
        <v>52</v>
      </c>
      <c r="I18" s="16"/>
      <c r="J18" s="16"/>
      <c r="P18" t="s">
        <v>101</v>
      </c>
      <c r="Q18" t="s">
        <v>16</v>
      </c>
      <c r="R18" t="s">
        <v>45</v>
      </c>
      <c r="S18" t="s">
        <v>46</v>
      </c>
      <c r="T18" t="s">
        <v>47</v>
      </c>
      <c r="U18" t="s">
        <v>48</v>
      </c>
    </row>
    <row r="19" spans="2:21" ht="29.25" customHeight="1">
      <c r="B19" s="63"/>
      <c r="C19" s="16" t="s">
        <v>102</v>
      </c>
      <c r="D19" s="16" t="s">
        <v>40</v>
      </c>
      <c r="E19" s="16" t="s">
        <v>7</v>
      </c>
      <c r="F19" s="16" t="s">
        <v>17</v>
      </c>
      <c r="G19" s="16" t="s">
        <v>93</v>
      </c>
      <c r="H19" s="16" t="s">
        <v>103</v>
      </c>
      <c r="I19" s="16" t="s">
        <v>43</v>
      </c>
      <c r="J19" s="16">
        <v>3</v>
      </c>
      <c r="P19" t="s">
        <v>104</v>
      </c>
      <c r="Q19" t="s">
        <v>16</v>
      </c>
      <c r="R19" t="s">
        <v>76</v>
      </c>
      <c r="S19" t="s">
        <v>58</v>
      </c>
      <c r="T19" t="s">
        <v>77</v>
      </c>
      <c r="U19" t="s">
        <v>60</v>
      </c>
    </row>
    <row r="20" spans="2:21" ht="22.5" customHeight="1">
      <c r="B20" s="63"/>
      <c r="C20" s="16" t="s">
        <v>105</v>
      </c>
      <c r="D20" s="16" t="s">
        <v>40</v>
      </c>
      <c r="E20" s="16" t="s">
        <v>7</v>
      </c>
      <c r="F20" s="16" t="s">
        <v>17</v>
      </c>
      <c r="G20" s="16" t="s">
        <v>93</v>
      </c>
      <c r="H20" s="16" t="s">
        <v>103</v>
      </c>
      <c r="I20" s="16" t="s">
        <v>43</v>
      </c>
      <c r="J20" s="16">
        <v>3</v>
      </c>
      <c r="P20" t="s">
        <v>106</v>
      </c>
      <c r="Q20" t="s">
        <v>16</v>
      </c>
      <c r="R20" t="s">
        <v>76</v>
      </c>
      <c r="S20" t="s">
        <v>58</v>
      </c>
      <c r="T20" t="s">
        <v>77</v>
      </c>
      <c r="U20" t="s">
        <v>60</v>
      </c>
    </row>
    <row r="21" spans="2:21" ht="22.5" customHeight="1">
      <c r="B21" s="63"/>
      <c r="C21" s="16" t="s">
        <v>107</v>
      </c>
      <c r="D21" s="16" t="s">
        <v>40</v>
      </c>
      <c r="E21" s="16" t="s">
        <v>7</v>
      </c>
      <c r="F21" s="16" t="s">
        <v>17</v>
      </c>
      <c r="G21" s="16" t="s">
        <v>93</v>
      </c>
      <c r="H21" s="16" t="s">
        <v>103</v>
      </c>
      <c r="I21" s="16" t="s">
        <v>43</v>
      </c>
      <c r="J21" s="16">
        <v>3</v>
      </c>
      <c r="P21" t="s">
        <v>108</v>
      </c>
      <c r="Q21" t="s">
        <v>16</v>
      </c>
      <c r="R21" t="s">
        <v>109</v>
      </c>
      <c r="S21" t="s">
        <v>58</v>
      </c>
      <c r="T21" t="s">
        <v>110</v>
      </c>
      <c r="U21" t="s">
        <v>60</v>
      </c>
    </row>
    <row r="22" spans="2:21" ht="22.5" customHeight="1">
      <c r="B22" s="63"/>
      <c r="C22" s="16" t="s">
        <v>83</v>
      </c>
      <c r="D22" s="15" t="s">
        <v>111</v>
      </c>
      <c r="E22" s="16" t="s">
        <v>7</v>
      </c>
      <c r="F22" s="16" t="s">
        <v>98</v>
      </c>
      <c r="G22" s="16" t="s">
        <v>51</v>
      </c>
      <c r="H22" s="16" t="s">
        <v>112</v>
      </c>
      <c r="I22" s="16"/>
      <c r="J22" s="16"/>
      <c r="P22" t="s">
        <v>113</v>
      </c>
      <c r="Q22" t="s">
        <v>16</v>
      </c>
      <c r="R22" t="s">
        <v>114</v>
      </c>
      <c r="S22" t="s">
        <v>58</v>
      </c>
      <c r="T22" t="s">
        <v>77</v>
      </c>
      <c r="U22" t="s">
        <v>60</v>
      </c>
    </row>
    <row r="23" spans="2:21" ht="22.5" customHeight="1">
      <c r="B23" s="63"/>
      <c r="C23" s="16" t="s">
        <v>115</v>
      </c>
      <c r="D23" s="16" t="s">
        <v>40</v>
      </c>
      <c r="E23" s="16" t="s">
        <v>7</v>
      </c>
      <c r="F23" s="16" t="s">
        <v>17</v>
      </c>
      <c r="G23" s="16" t="s">
        <v>72</v>
      </c>
      <c r="H23" s="16" t="s">
        <v>79</v>
      </c>
      <c r="I23" s="16" t="s">
        <v>43</v>
      </c>
      <c r="J23" s="16">
        <v>3</v>
      </c>
      <c r="P23" t="s">
        <v>116</v>
      </c>
      <c r="Q23" t="s">
        <v>16</v>
      </c>
      <c r="R23" t="s">
        <v>76</v>
      </c>
      <c r="S23" t="s">
        <v>58</v>
      </c>
      <c r="T23" t="s">
        <v>77</v>
      </c>
      <c r="U23" t="s">
        <v>60</v>
      </c>
    </row>
    <row r="24" spans="2:21" ht="22.5" customHeight="1">
      <c r="B24" s="63"/>
      <c r="C24" s="16" t="s">
        <v>117</v>
      </c>
      <c r="D24" s="16" t="s">
        <v>40</v>
      </c>
      <c r="E24" s="16" t="s">
        <v>7</v>
      </c>
      <c r="F24" s="16" t="s">
        <v>17</v>
      </c>
      <c r="G24" s="16" t="s">
        <v>72</v>
      </c>
      <c r="H24" s="16" t="s">
        <v>79</v>
      </c>
      <c r="I24" s="16" t="s">
        <v>43</v>
      </c>
      <c r="J24" s="16">
        <v>3</v>
      </c>
      <c r="P24" t="s">
        <v>118</v>
      </c>
      <c r="Q24" t="s">
        <v>16</v>
      </c>
      <c r="R24" t="s">
        <v>76</v>
      </c>
      <c r="S24" t="s">
        <v>58</v>
      </c>
      <c r="T24" t="s">
        <v>77</v>
      </c>
      <c r="U24" t="s">
        <v>60</v>
      </c>
    </row>
    <row r="25" spans="2:21" ht="22.5" customHeight="1">
      <c r="B25" s="63"/>
      <c r="C25" s="16" t="s">
        <v>119</v>
      </c>
      <c r="D25" s="16" t="s">
        <v>40</v>
      </c>
      <c r="E25" s="16" t="s">
        <v>7</v>
      </c>
      <c r="F25" s="16" t="s">
        <v>17</v>
      </c>
      <c r="G25" s="16" t="s">
        <v>83</v>
      </c>
      <c r="H25" s="16" t="s">
        <v>84</v>
      </c>
      <c r="I25" s="16" t="s">
        <v>43</v>
      </c>
      <c r="J25" s="16">
        <v>3</v>
      </c>
      <c r="P25" t="s">
        <v>120</v>
      </c>
      <c r="Q25" t="s">
        <v>16</v>
      </c>
      <c r="R25" t="s">
        <v>81</v>
      </c>
      <c r="S25" t="s">
        <v>58</v>
      </c>
      <c r="T25" t="s">
        <v>59</v>
      </c>
      <c r="U25" t="s">
        <v>60</v>
      </c>
    </row>
    <row r="26" spans="2:21" ht="22.5" customHeight="1">
      <c r="B26" s="63"/>
      <c r="C26" s="16" t="s">
        <v>121</v>
      </c>
      <c r="D26" s="16" t="s">
        <v>40</v>
      </c>
      <c r="E26" s="16" t="s">
        <v>7</v>
      </c>
      <c r="F26" s="16" t="s">
        <v>17</v>
      </c>
      <c r="G26" s="16" t="s">
        <v>83</v>
      </c>
      <c r="H26" s="16" t="s">
        <v>84</v>
      </c>
      <c r="I26" s="16" t="s">
        <v>43</v>
      </c>
      <c r="J26" s="16">
        <v>3</v>
      </c>
      <c r="P26" t="s">
        <v>122</v>
      </c>
      <c r="Q26" t="s">
        <v>16</v>
      </c>
      <c r="R26" t="s">
        <v>92</v>
      </c>
      <c r="S26" t="s">
        <v>58</v>
      </c>
      <c r="T26" t="s">
        <v>77</v>
      </c>
      <c r="U26" t="s">
        <v>60</v>
      </c>
    </row>
    <row r="27" spans="2:21" ht="22.5" customHeight="1">
      <c r="B27" s="63"/>
      <c r="C27" s="16" t="s">
        <v>123</v>
      </c>
      <c r="D27" s="16" t="s">
        <v>124</v>
      </c>
      <c r="E27" s="16" t="s">
        <v>55</v>
      </c>
      <c r="F27" s="16" t="s">
        <v>17</v>
      </c>
      <c r="G27" s="16" t="s">
        <v>125</v>
      </c>
      <c r="H27" s="16" t="s">
        <v>126</v>
      </c>
      <c r="I27" s="16" t="s">
        <v>127</v>
      </c>
      <c r="J27" s="16">
        <v>3</v>
      </c>
      <c r="P27" t="s">
        <v>128</v>
      </c>
      <c r="Q27" t="s">
        <v>16</v>
      </c>
      <c r="R27" t="s">
        <v>92</v>
      </c>
      <c r="S27" t="s">
        <v>58</v>
      </c>
      <c r="T27" t="s">
        <v>77</v>
      </c>
      <c r="U27" t="s">
        <v>60</v>
      </c>
    </row>
    <row r="28" spans="2:21" ht="22.5" customHeight="1">
      <c r="B28" s="63"/>
      <c r="C28" s="16" t="s">
        <v>129</v>
      </c>
      <c r="D28" s="16" t="s">
        <v>130</v>
      </c>
      <c r="E28" s="16" t="s">
        <v>55</v>
      </c>
      <c r="F28" s="16" t="s">
        <v>17</v>
      </c>
      <c r="G28" s="16" t="s">
        <v>131</v>
      </c>
      <c r="H28" s="16" t="s">
        <v>126</v>
      </c>
      <c r="I28" s="16" t="s">
        <v>127</v>
      </c>
      <c r="J28" s="16">
        <v>3</v>
      </c>
      <c r="P28" t="s">
        <v>132</v>
      </c>
      <c r="Q28" t="s">
        <v>16</v>
      </c>
      <c r="R28" t="s">
        <v>133</v>
      </c>
      <c r="S28" t="s">
        <v>58</v>
      </c>
      <c r="T28" t="s">
        <v>134</v>
      </c>
      <c r="U28" t="s">
        <v>60</v>
      </c>
    </row>
    <row r="29" spans="2:21" ht="22.5" customHeight="1">
      <c r="B29" s="63"/>
      <c r="C29" s="16" t="s">
        <v>135</v>
      </c>
      <c r="D29" s="16" t="s">
        <v>130</v>
      </c>
      <c r="E29" s="16" t="s">
        <v>55</v>
      </c>
      <c r="F29" s="16" t="s">
        <v>17</v>
      </c>
      <c r="G29" s="16" t="s">
        <v>123</v>
      </c>
      <c r="H29" s="16" t="s">
        <v>126</v>
      </c>
      <c r="I29" s="16" t="s">
        <v>127</v>
      </c>
      <c r="J29" s="16">
        <v>3</v>
      </c>
      <c r="P29" t="s">
        <v>136</v>
      </c>
      <c r="Q29" t="s">
        <v>16</v>
      </c>
      <c r="R29" t="s">
        <v>109</v>
      </c>
      <c r="S29" t="s">
        <v>58</v>
      </c>
      <c r="T29" t="s">
        <v>110</v>
      </c>
      <c r="U29" t="s">
        <v>60</v>
      </c>
    </row>
    <row r="30" spans="2:21" ht="22.5" customHeight="1">
      <c r="B30" s="63"/>
      <c r="C30" s="16" t="s">
        <v>137</v>
      </c>
      <c r="D30" s="16" t="s">
        <v>130</v>
      </c>
      <c r="E30" s="16" t="s">
        <v>55</v>
      </c>
      <c r="F30" s="16" t="s">
        <v>17</v>
      </c>
      <c r="G30" s="16" t="s">
        <v>138</v>
      </c>
      <c r="H30" s="16" t="s">
        <v>126</v>
      </c>
      <c r="I30" s="16" t="s">
        <v>127</v>
      </c>
      <c r="J30" s="16">
        <v>3</v>
      </c>
      <c r="P30" t="s">
        <v>139</v>
      </c>
      <c r="Q30" t="s">
        <v>16</v>
      </c>
      <c r="R30" t="s">
        <v>76</v>
      </c>
      <c r="S30" t="s">
        <v>58</v>
      </c>
      <c r="T30" t="s">
        <v>77</v>
      </c>
      <c r="U30" t="s">
        <v>60</v>
      </c>
    </row>
    <row r="31" spans="2:21" ht="22.5" customHeight="1">
      <c r="B31" s="63"/>
      <c r="C31" s="16" t="s">
        <v>140</v>
      </c>
      <c r="D31" s="16" t="s">
        <v>141</v>
      </c>
      <c r="E31" s="16" t="s">
        <v>55</v>
      </c>
      <c r="F31" s="16" t="s">
        <v>17</v>
      </c>
      <c r="G31" s="16" t="s">
        <v>138</v>
      </c>
      <c r="H31" s="16" t="s">
        <v>126</v>
      </c>
      <c r="I31" s="16" t="s">
        <v>127</v>
      </c>
      <c r="J31" s="16">
        <v>3</v>
      </c>
      <c r="P31" t="s">
        <v>142</v>
      </c>
      <c r="Q31" t="s">
        <v>16</v>
      </c>
      <c r="R31" t="s">
        <v>143</v>
      </c>
      <c r="S31" t="s">
        <v>58</v>
      </c>
      <c r="T31" t="s">
        <v>77</v>
      </c>
      <c r="U31" t="s">
        <v>60</v>
      </c>
    </row>
    <row r="32" spans="2:21" ht="22.5" customHeight="1">
      <c r="B32" s="63"/>
      <c r="C32" s="16" t="s">
        <v>131</v>
      </c>
      <c r="D32" s="16" t="s">
        <v>144</v>
      </c>
      <c r="E32" s="16" t="s">
        <v>55</v>
      </c>
      <c r="F32" s="16" t="s">
        <v>17</v>
      </c>
      <c r="G32" s="16" t="s">
        <v>123</v>
      </c>
      <c r="H32" s="16" t="s">
        <v>126</v>
      </c>
      <c r="I32" s="16" t="s">
        <v>127</v>
      </c>
      <c r="J32" s="16">
        <v>3</v>
      </c>
      <c r="P32" t="s">
        <v>145</v>
      </c>
      <c r="Q32" t="s">
        <v>16</v>
      </c>
      <c r="R32" t="s">
        <v>76</v>
      </c>
      <c r="S32" t="s">
        <v>58</v>
      </c>
      <c r="T32" t="s">
        <v>77</v>
      </c>
      <c r="U32" t="s">
        <v>60</v>
      </c>
    </row>
    <row r="33" spans="2:21" ht="22.5" customHeight="1">
      <c r="B33" s="63"/>
      <c r="C33" s="16" t="s">
        <v>138</v>
      </c>
      <c r="D33" s="16" t="s">
        <v>144</v>
      </c>
      <c r="E33" s="16" t="s">
        <v>55</v>
      </c>
      <c r="F33" s="16" t="s">
        <v>17</v>
      </c>
      <c r="G33" s="16" t="s">
        <v>123</v>
      </c>
      <c r="H33" s="16" t="s">
        <v>126</v>
      </c>
      <c r="I33" s="16" t="s">
        <v>127</v>
      </c>
      <c r="J33" s="16">
        <v>3</v>
      </c>
      <c r="P33" t="s">
        <v>146</v>
      </c>
      <c r="Q33" t="s">
        <v>16</v>
      </c>
      <c r="R33" t="s">
        <v>147</v>
      </c>
      <c r="S33" t="s">
        <v>58</v>
      </c>
      <c r="T33" t="s">
        <v>134</v>
      </c>
      <c r="U33" t="s">
        <v>60</v>
      </c>
    </row>
    <row r="34" spans="2:21" ht="28.5" customHeight="1">
      <c r="B34" s="63"/>
      <c r="C34" s="16" t="s">
        <v>148</v>
      </c>
      <c r="D34" s="16" t="s">
        <v>149</v>
      </c>
      <c r="E34" s="16" t="s">
        <v>55</v>
      </c>
      <c r="F34" s="16" t="s">
        <v>17</v>
      </c>
      <c r="G34" s="16" t="s">
        <v>125</v>
      </c>
      <c r="H34" s="16" t="s">
        <v>150</v>
      </c>
      <c r="I34" s="16" t="s">
        <v>43</v>
      </c>
      <c r="J34" s="16">
        <v>3</v>
      </c>
      <c r="P34" t="s">
        <v>151</v>
      </c>
      <c r="Q34" t="s">
        <v>16</v>
      </c>
      <c r="R34" t="s">
        <v>92</v>
      </c>
      <c r="S34" t="s">
        <v>58</v>
      </c>
      <c r="T34" t="s">
        <v>77</v>
      </c>
      <c r="U34" t="s">
        <v>60</v>
      </c>
    </row>
    <row r="35" spans="2:21" ht="22.5" customHeight="1">
      <c r="B35" s="63"/>
      <c r="C35" s="16" t="s">
        <v>152</v>
      </c>
      <c r="D35" s="16" t="s">
        <v>153</v>
      </c>
      <c r="E35" s="16" t="s">
        <v>55</v>
      </c>
      <c r="F35" s="16" t="s">
        <v>17</v>
      </c>
      <c r="G35" s="16" t="s">
        <v>154</v>
      </c>
      <c r="H35" s="16" t="s">
        <v>150</v>
      </c>
      <c r="I35" s="16" t="s">
        <v>127</v>
      </c>
      <c r="J35" s="16">
        <v>3</v>
      </c>
      <c r="P35" t="s">
        <v>155</v>
      </c>
      <c r="Q35" t="s">
        <v>16</v>
      </c>
      <c r="R35" t="s">
        <v>81</v>
      </c>
      <c r="S35" t="s">
        <v>58</v>
      </c>
      <c r="T35" t="s">
        <v>59</v>
      </c>
      <c r="U35" t="s">
        <v>60</v>
      </c>
    </row>
    <row r="36" spans="2:21" ht="22.5" customHeight="1">
      <c r="B36" s="63"/>
      <c r="C36" s="16" t="s">
        <v>156</v>
      </c>
      <c r="D36" s="16" t="s">
        <v>157</v>
      </c>
      <c r="E36" s="16" t="s">
        <v>55</v>
      </c>
      <c r="F36" s="16" t="s">
        <v>17</v>
      </c>
      <c r="G36" s="16" t="s">
        <v>158</v>
      </c>
      <c r="H36" s="16" t="s">
        <v>150</v>
      </c>
      <c r="I36" s="16" t="s">
        <v>127</v>
      </c>
      <c r="J36" s="16">
        <v>3</v>
      </c>
      <c r="P36" t="s">
        <v>159</v>
      </c>
      <c r="Q36" t="s">
        <v>16</v>
      </c>
      <c r="R36" t="s">
        <v>57</v>
      </c>
      <c r="S36" t="s">
        <v>58</v>
      </c>
      <c r="T36" t="s">
        <v>59</v>
      </c>
      <c r="U36" t="s">
        <v>60</v>
      </c>
    </row>
    <row r="37" spans="2:21" ht="22.5" customHeight="1">
      <c r="B37" s="63"/>
      <c r="C37" s="16" t="s">
        <v>160</v>
      </c>
      <c r="D37" s="16" t="s">
        <v>161</v>
      </c>
      <c r="E37" s="16" t="s">
        <v>55</v>
      </c>
      <c r="F37" s="16" t="s">
        <v>17</v>
      </c>
      <c r="G37" s="16" t="s">
        <v>158</v>
      </c>
      <c r="H37" s="16" t="s">
        <v>150</v>
      </c>
      <c r="I37" s="16" t="s">
        <v>127</v>
      </c>
      <c r="J37" s="16">
        <v>3</v>
      </c>
      <c r="P37" t="s">
        <v>162</v>
      </c>
      <c r="Q37" t="s">
        <v>16</v>
      </c>
      <c r="R37" t="s">
        <v>81</v>
      </c>
      <c r="S37" t="s">
        <v>58</v>
      </c>
      <c r="T37" t="s">
        <v>59</v>
      </c>
      <c r="U37" t="s">
        <v>60</v>
      </c>
    </row>
    <row r="38" spans="2:21" ht="22.5" customHeight="1">
      <c r="B38" s="63"/>
      <c r="C38" s="16" t="s">
        <v>163</v>
      </c>
      <c r="D38" s="16" t="s">
        <v>164</v>
      </c>
      <c r="E38" s="16" t="s">
        <v>55</v>
      </c>
      <c r="F38" s="16" t="s">
        <v>17</v>
      </c>
      <c r="G38" s="16" t="s">
        <v>165</v>
      </c>
      <c r="H38" s="16" t="s">
        <v>150</v>
      </c>
      <c r="I38" s="16" t="s">
        <v>127</v>
      </c>
      <c r="J38" s="16">
        <v>3</v>
      </c>
      <c r="P38" t="s">
        <v>166</v>
      </c>
      <c r="Q38" t="s">
        <v>16</v>
      </c>
      <c r="R38" t="s">
        <v>76</v>
      </c>
      <c r="S38" t="s">
        <v>58</v>
      </c>
      <c r="T38" t="s">
        <v>77</v>
      </c>
      <c r="U38" t="s">
        <v>60</v>
      </c>
    </row>
    <row r="39" spans="2:21" ht="22.5" customHeight="1">
      <c r="B39" s="63"/>
      <c r="C39" s="16" t="s">
        <v>154</v>
      </c>
      <c r="D39" s="16" t="s">
        <v>167</v>
      </c>
      <c r="E39" s="16" t="s">
        <v>55</v>
      </c>
      <c r="F39" s="16" t="s">
        <v>17</v>
      </c>
      <c r="G39" s="16" t="s">
        <v>148</v>
      </c>
      <c r="H39" s="16" t="s">
        <v>150</v>
      </c>
      <c r="I39" s="16" t="s">
        <v>127</v>
      </c>
      <c r="J39" s="16">
        <v>3</v>
      </c>
      <c r="P39" t="s">
        <v>168</v>
      </c>
      <c r="Q39" t="s">
        <v>16</v>
      </c>
      <c r="R39" t="s">
        <v>133</v>
      </c>
      <c r="S39" t="s">
        <v>58</v>
      </c>
      <c r="T39" t="s">
        <v>134</v>
      </c>
      <c r="U39" t="s">
        <v>60</v>
      </c>
    </row>
    <row r="40" spans="2:21" ht="22.5" customHeight="1">
      <c r="B40" s="63"/>
      <c r="C40" s="16" t="s">
        <v>158</v>
      </c>
      <c r="D40" s="16" t="s">
        <v>169</v>
      </c>
      <c r="E40" s="16" t="s">
        <v>55</v>
      </c>
      <c r="F40" s="16" t="s">
        <v>17</v>
      </c>
      <c r="G40" s="16" t="s">
        <v>148</v>
      </c>
      <c r="H40" s="16" t="s">
        <v>150</v>
      </c>
      <c r="I40" s="16" t="s">
        <v>43</v>
      </c>
      <c r="J40" s="16">
        <v>3</v>
      </c>
      <c r="P40" t="s">
        <v>170</v>
      </c>
      <c r="Q40" t="s">
        <v>16</v>
      </c>
      <c r="R40" t="s">
        <v>171</v>
      </c>
      <c r="S40" t="s">
        <v>58</v>
      </c>
      <c r="T40" t="s">
        <v>77</v>
      </c>
      <c r="U40" t="s">
        <v>60</v>
      </c>
    </row>
    <row r="41" spans="2:21" ht="22.5" customHeight="1">
      <c r="B41" s="63"/>
      <c r="C41" s="16" t="s">
        <v>165</v>
      </c>
      <c r="D41" s="16" t="s">
        <v>172</v>
      </c>
      <c r="E41" s="16" t="s">
        <v>55</v>
      </c>
      <c r="F41" s="16" t="s">
        <v>17</v>
      </c>
      <c r="G41" s="16" t="s">
        <v>148</v>
      </c>
      <c r="H41" s="16" t="s">
        <v>150</v>
      </c>
      <c r="I41" s="16" t="s">
        <v>43</v>
      </c>
      <c r="J41" s="16">
        <v>3</v>
      </c>
      <c r="P41" t="s">
        <v>173</v>
      </c>
      <c r="Q41" t="s">
        <v>16</v>
      </c>
      <c r="R41" t="s">
        <v>133</v>
      </c>
      <c r="S41" t="s">
        <v>58</v>
      </c>
      <c r="T41" t="s">
        <v>134</v>
      </c>
      <c r="U41" t="s">
        <v>60</v>
      </c>
    </row>
    <row r="42" spans="2:21" ht="22.5" customHeight="1">
      <c r="B42" s="63"/>
      <c r="C42" s="16" t="s">
        <v>174</v>
      </c>
      <c r="D42" s="16" t="s">
        <v>175</v>
      </c>
      <c r="E42" s="16" t="s">
        <v>55</v>
      </c>
      <c r="F42" s="16" t="s">
        <v>17</v>
      </c>
      <c r="G42" s="16" t="s">
        <v>176</v>
      </c>
      <c r="H42" s="16" t="s">
        <v>177</v>
      </c>
      <c r="I42" s="16" t="s">
        <v>178</v>
      </c>
      <c r="J42" s="16">
        <v>3</v>
      </c>
      <c r="P42" t="s">
        <v>179</v>
      </c>
      <c r="Q42" t="s">
        <v>16</v>
      </c>
      <c r="R42" t="s">
        <v>76</v>
      </c>
      <c r="S42" t="s">
        <v>58</v>
      </c>
      <c r="T42" t="s">
        <v>77</v>
      </c>
      <c r="U42" t="s">
        <v>60</v>
      </c>
    </row>
    <row r="43" spans="2:21" ht="22.5" customHeight="1">
      <c r="B43" s="63"/>
      <c r="C43" s="16" t="s">
        <v>176</v>
      </c>
      <c r="D43" s="16" t="s">
        <v>180</v>
      </c>
      <c r="E43" s="16" t="s">
        <v>55</v>
      </c>
      <c r="F43" s="16" t="s">
        <v>17</v>
      </c>
      <c r="G43" s="16" t="s">
        <v>125</v>
      </c>
      <c r="H43" s="16" t="s">
        <v>177</v>
      </c>
      <c r="I43" s="16" t="s">
        <v>178</v>
      </c>
      <c r="J43" s="16">
        <v>3</v>
      </c>
      <c r="P43" t="s">
        <v>181</v>
      </c>
      <c r="Q43" t="s">
        <v>16</v>
      </c>
      <c r="R43" t="s">
        <v>45</v>
      </c>
      <c r="S43" t="s">
        <v>46</v>
      </c>
      <c r="T43" t="s">
        <v>47</v>
      </c>
      <c r="U43" t="s">
        <v>48</v>
      </c>
    </row>
    <row r="44" spans="2:21" ht="22.5" customHeight="1">
      <c r="B44" s="63"/>
      <c r="C44" s="16" t="s">
        <v>182</v>
      </c>
      <c r="D44" s="16" t="s">
        <v>183</v>
      </c>
      <c r="E44" s="16" t="s">
        <v>55</v>
      </c>
      <c r="F44" s="16" t="s">
        <v>17</v>
      </c>
      <c r="G44" s="16" t="s">
        <v>176</v>
      </c>
      <c r="H44" s="16" t="s">
        <v>177</v>
      </c>
      <c r="I44" s="16" t="s">
        <v>178</v>
      </c>
      <c r="J44" s="16">
        <v>3</v>
      </c>
      <c r="P44" t="s">
        <v>184</v>
      </c>
      <c r="Q44" t="s">
        <v>16</v>
      </c>
      <c r="R44" t="s">
        <v>81</v>
      </c>
      <c r="S44" t="s">
        <v>58</v>
      </c>
      <c r="T44" t="s">
        <v>59</v>
      </c>
      <c r="U44" t="s">
        <v>60</v>
      </c>
    </row>
    <row r="45" spans="2:21" ht="22.5" customHeight="1">
      <c r="B45" s="63"/>
      <c r="C45" s="16" t="s">
        <v>185</v>
      </c>
      <c r="D45" s="16" t="s">
        <v>186</v>
      </c>
      <c r="E45" s="16" t="s">
        <v>55</v>
      </c>
      <c r="F45" s="16" t="s">
        <v>17</v>
      </c>
      <c r="G45" s="16" t="s">
        <v>182</v>
      </c>
      <c r="H45" s="16" t="s">
        <v>177</v>
      </c>
      <c r="I45" s="16" t="s">
        <v>127</v>
      </c>
      <c r="J45" s="16">
        <v>3</v>
      </c>
      <c r="P45" t="s">
        <v>187</v>
      </c>
      <c r="Q45" t="s">
        <v>16</v>
      </c>
      <c r="R45" t="s">
        <v>76</v>
      </c>
      <c r="S45" t="s">
        <v>58</v>
      </c>
      <c r="T45" t="s">
        <v>77</v>
      </c>
      <c r="U45" t="s">
        <v>60</v>
      </c>
    </row>
    <row r="46" spans="2:21" ht="22.5" customHeight="1">
      <c r="B46" s="63"/>
      <c r="C46" s="16" t="s">
        <v>188</v>
      </c>
      <c r="D46" s="16" t="s">
        <v>186</v>
      </c>
      <c r="E46" s="16" t="s">
        <v>55</v>
      </c>
      <c r="F46" s="16" t="s">
        <v>17</v>
      </c>
      <c r="G46" s="16" t="s">
        <v>176</v>
      </c>
      <c r="H46" s="16" t="s">
        <v>177</v>
      </c>
      <c r="I46" s="16" t="s">
        <v>127</v>
      </c>
      <c r="J46" s="16">
        <v>3</v>
      </c>
      <c r="P46" t="s">
        <v>189</v>
      </c>
      <c r="Q46" t="s">
        <v>16</v>
      </c>
      <c r="R46" t="s">
        <v>45</v>
      </c>
      <c r="S46" t="s">
        <v>46</v>
      </c>
      <c r="T46" t="s">
        <v>47</v>
      </c>
      <c r="U46" t="s">
        <v>48</v>
      </c>
    </row>
    <row r="47" spans="2:21" ht="22.5" customHeight="1">
      <c r="B47" s="63"/>
      <c r="C47" s="16" t="s">
        <v>190</v>
      </c>
      <c r="D47" s="16" t="s">
        <v>186</v>
      </c>
      <c r="E47" s="16" t="s">
        <v>55</v>
      </c>
      <c r="F47" s="16" t="s">
        <v>17</v>
      </c>
      <c r="G47" s="16" t="s">
        <v>182</v>
      </c>
      <c r="H47" s="16" t="s">
        <v>177</v>
      </c>
      <c r="I47" s="16" t="s">
        <v>127</v>
      </c>
      <c r="J47" s="16">
        <v>3</v>
      </c>
      <c r="P47" t="s">
        <v>191</v>
      </c>
      <c r="Q47" t="s">
        <v>16</v>
      </c>
      <c r="R47" t="s">
        <v>76</v>
      </c>
      <c r="S47" t="s">
        <v>58</v>
      </c>
      <c r="T47" t="s">
        <v>77</v>
      </c>
      <c r="U47" t="s">
        <v>60</v>
      </c>
    </row>
    <row r="48" spans="2:21" ht="22.5" customHeight="1">
      <c r="B48" s="63"/>
      <c r="C48" s="16" t="s">
        <v>192</v>
      </c>
      <c r="D48" s="16" t="s">
        <v>186</v>
      </c>
      <c r="E48" s="16" t="s">
        <v>55</v>
      </c>
      <c r="F48" s="16" t="s">
        <v>17</v>
      </c>
      <c r="G48" s="16" t="s">
        <v>176</v>
      </c>
      <c r="H48" s="16" t="s">
        <v>177</v>
      </c>
      <c r="I48" s="16" t="s">
        <v>43</v>
      </c>
      <c r="J48" s="16">
        <v>3</v>
      </c>
      <c r="P48" t="s">
        <v>193</v>
      </c>
      <c r="Q48" t="s">
        <v>16</v>
      </c>
      <c r="R48" t="s">
        <v>76</v>
      </c>
      <c r="S48" t="s">
        <v>58</v>
      </c>
      <c r="T48" t="s">
        <v>77</v>
      </c>
      <c r="U48" t="s">
        <v>60</v>
      </c>
    </row>
    <row r="49" spans="2:21" ht="22.5" customHeight="1">
      <c r="B49" s="63"/>
      <c r="C49" s="16" t="s">
        <v>194</v>
      </c>
      <c r="D49" s="16" t="s">
        <v>186</v>
      </c>
      <c r="E49" s="16" t="s">
        <v>55</v>
      </c>
      <c r="F49" s="16" t="s">
        <v>17</v>
      </c>
      <c r="G49" s="16" t="s">
        <v>176</v>
      </c>
      <c r="H49" s="16" t="s">
        <v>177</v>
      </c>
      <c r="I49" s="16" t="s">
        <v>127</v>
      </c>
      <c r="J49" s="16">
        <v>3</v>
      </c>
      <c r="P49" t="s">
        <v>195</v>
      </c>
      <c r="Q49" t="s">
        <v>16</v>
      </c>
      <c r="R49" t="s">
        <v>76</v>
      </c>
      <c r="S49" t="s">
        <v>58</v>
      </c>
      <c r="T49" t="s">
        <v>77</v>
      </c>
      <c r="U49" t="s">
        <v>60</v>
      </c>
    </row>
    <row r="50" spans="2:21" ht="22.5" customHeight="1">
      <c r="B50" s="63"/>
      <c r="C50" s="16" t="s">
        <v>196</v>
      </c>
      <c r="D50" s="16" t="s">
        <v>197</v>
      </c>
      <c r="E50" s="16" t="s">
        <v>55</v>
      </c>
      <c r="F50" s="16" t="s">
        <v>17</v>
      </c>
      <c r="G50" s="16" t="s">
        <v>198</v>
      </c>
      <c r="H50" s="16" t="s">
        <v>199</v>
      </c>
      <c r="I50" s="16" t="s">
        <v>127</v>
      </c>
      <c r="J50" s="16">
        <v>3</v>
      </c>
      <c r="P50" t="s">
        <v>200</v>
      </c>
      <c r="Q50" t="s">
        <v>16</v>
      </c>
      <c r="R50" t="s">
        <v>76</v>
      </c>
      <c r="S50" t="s">
        <v>58</v>
      </c>
      <c r="T50" t="s">
        <v>77</v>
      </c>
      <c r="U50" t="s">
        <v>60</v>
      </c>
    </row>
    <row r="51" spans="2:21" ht="22.5" customHeight="1">
      <c r="B51" s="63"/>
      <c r="C51" s="16" t="s">
        <v>201</v>
      </c>
      <c r="D51" s="16" t="s">
        <v>183</v>
      </c>
      <c r="E51" s="16" t="s">
        <v>55</v>
      </c>
      <c r="F51" s="16" t="s">
        <v>17</v>
      </c>
      <c r="G51" s="16" t="s">
        <v>198</v>
      </c>
      <c r="H51" s="16" t="s">
        <v>199</v>
      </c>
      <c r="I51" s="16" t="s">
        <v>178</v>
      </c>
      <c r="J51" s="16">
        <v>3</v>
      </c>
      <c r="P51" t="s">
        <v>202</v>
      </c>
      <c r="Q51" t="s">
        <v>16</v>
      </c>
      <c r="R51" t="s">
        <v>76</v>
      </c>
      <c r="S51" t="s">
        <v>58</v>
      </c>
      <c r="T51" t="s">
        <v>77</v>
      </c>
      <c r="U51" t="s">
        <v>60</v>
      </c>
    </row>
    <row r="52" spans="2:21" ht="22.5" customHeight="1">
      <c r="B52" s="63"/>
      <c r="C52" s="16" t="s">
        <v>203</v>
      </c>
      <c r="D52" s="16" t="s">
        <v>204</v>
      </c>
      <c r="E52" s="16" t="s">
        <v>55</v>
      </c>
      <c r="F52" s="16" t="s">
        <v>17</v>
      </c>
      <c r="G52" s="16" t="s">
        <v>198</v>
      </c>
      <c r="H52" s="16" t="s">
        <v>199</v>
      </c>
      <c r="I52" s="16" t="s">
        <v>127</v>
      </c>
      <c r="J52" s="16">
        <v>3</v>
      </c>
      <c r="P52" t="s">
        <v>205</v>
      </c>
      <c r="Q52" t="s">
        <v>16</v>
      </c>
      <c r="R52" t="s">
        <v>45</v>
      </c>
      <c r="S52" t="s">
        <v>46</v>
      </c>
      <c r="T52" t="s">
        <v>47</v>
      </c>
      <c r="U52" t="s">
        <v>48</v>
      </c>
    </row>
    <row r="53" spans="2:21" ht="22.5" customHeight="1">
      <c r="B53" s="63"/>
      <c r="C53" s="16" t="s">
        <v>206</v>
      </c>
      <c r="D53" s="16" t="s">
        <v>204</v>
      </c>
      <c r="E53" s="16" t="s">
        <v>55</v>
      </c>
      <c r="F53" s="16" t="s">
        <v>17</v>
      </c>
      <c r="G53" s="16" t="s">
        <v>198</v>
      </c>
      <c r="H53" s="16" t="s">
        <v>199</v>
      </c>
      <c r="I53" s="16" t="s">
        <v>127</v>
      </c>
      <c r="J53" s="16">
        <v>3</v>
      </c>
      <c r="P53" t="s">
        <v>207</v>
      </c>
      <c r="Q53" t="s">
        <v>16</v>
      </c>
      <c r="R53" t="s">
        <v>208</v>
      </c>
      <c r="S53" t="s">
        <v>199</v>
      </c>
      <c r="T53" t="s">
        <v>71</v>
      </c>
      <c r="U53" t="s">
        <v>55</v>
      </c>
    </row>
    <row r="54" spans="2:21" ht="22.5" customHeight="1">
      <c r="B54" s="63"/>
      <c r="C54" s="16" t="s">
        <v>209</v>
      </c>
      <c r="D54" s="16" t="s">
        <v>204</v>
      </c>
      <c r="E54" s="16" t="s">
        <v>55</v>
      </c>
      <c r="F54" s="16" t="s">
        <v>17</v>
      </c>
      <c r="G54" s="16" t="s">
        <v>198</v>
      </c>
      <c r="H54" s="16" t="s">
        <v>199</v>
      </c>
      <c r="I54" s="16" t="s">
        <v>127</v>
      </c>
      <c r="J54" s="16">
        <v>3</v>
      </c>
      <c r="P54" t="s">
        <v>210</v>
      </c>
      <c r="Q54" t="s">
        <v>16</v>
      </c>
      <c r="R54" t="s">
        <v>143</v>
      </c>
      <c r="S54" t="s">
        <v>58</v>
      </c>
      <c r="T54" t="s">
        <v>77</v>
      </c>
      <c r="U54" t="s">
        <v>60</v>
      </c>
    </row>
    <row r="55" spans="2:21" ht="22.5" customHeight="1">
      <c r="B55" s="63"/>
      <c r="C55" s="16" t="s">
        <v>211</v>
      </c>
      <c r="D55" s="16" t="s">
        <v>212</v>
      </c>
      <c r="E55" s="16" t="s">
        <v>55</v>
      </c>
      <c r="F55" s="16" t="s">
        <v>17</v>
      </c>
      <c r="G55" s="16" t="s">
        <v>201</v>
      </c>
      <c r="H55" s="16" t="s">
        <v>199</v>
      </c>
      <c r="I55" s="16" t="s">
        <v>127</v>
      </c>
      <c r="J55" s="16">
        <v>3</v>
      </c>
      <c r="P55" t="s">
        <v>213</v>
      </c>
      <c r="Q55" t="s">
        <v>16</v>
      </c>
      <c r="R55" t="s">
        <v>81</v>
      </c>
      <c r="S55" t="s">
        <v>58</v>
      </c>
      <c r="T55" t="s">
        <v>59</v>
      </c>
      <c r="U55" t="s">
        <v>60</v>
      </c>
    </row>
    <row r="56" spans="2:21" ht="22.5" customHeight="1">
      <c r="B56" s="63"/>
      <c r="C56" s="16" t="s">
        <v>214</v>
      </c>
      <c r="D56" s="16" t="s">
        <v>215</v>
      </c>
      <c r="E56" s="16" t="s">
        <v>55</v>
      </c>
      <c r="F56" s="16" t="s">
        <v>17</v>
      </c>
      <c r="G56" s="16" t="s">
        <v>198</v>
      </c>
      <c r="H56" s="16" t="s">
        <v>199</v>
      </c>
      <c r="I56" s="16" t="s">
        <v>43</v>
      </c>
      <c r="J56" s="16">
        <v>3</v>
      </c>
      <c r="P56" t="s">
        <v>216</v>
      </c>
      <c r="Q56" t="s">
        <v>16</v>
      </c>
      <c r="R56" t="s">
        <v>217</v>
      </c>
      <c r="S56" t="s">
        <v>58</v>
      </c>
      <c r="T56" t="s">
        <v>71</v>
      </c>
      <c r="U56" t="s">
        <v>60</v>
      </c>
    </row>
    <row r="57" spans="2:21" ht="22.5" customHeight="1">
      <c r="B57" s="63"/>
      <c r="C57" s="16" t="s">
        <v>218</v>
      </c>
      <c r="D57" s="15" t="s">
        <v>219</v>
      </c>
      <c r="E57" s="16" t="s">
        <v>55</v>
      </c>
      <c r="F57" s="16" t="s">
        <v>98</v>
      </c>
      <c r="G57" s="16" t="s">
        <v>100</v>
      </c>
      <c r="H57" s="16" t="s">
        <v>52</v>
      </c>
      <c r="I57" s="16"/>
      <c r="J57" s="16"/>
      <c r="P57" t="s">
        <v>220</v>
      </c>
      <c r="Q57" t="s">
        <v>16</v>
      </c>
      <c r="R57" t="s">
        <v>81</v>
      </c>
      <c r="S57" t="s">
        <v>58</v>
      </c>
      <c r="T57" t="s">
        <v>59</v>
      </c>
      <c r="U57" t="s">
        <v>60</v>
      </c>
    </row>
    <row r="58" spans="2:21" ht="22.5" customHeight="1">
      <c r="B58" s="63"/>
      <c r="C58" s="16" t="s">
        <v>125</v>
      </c>
      <c r="D58" s="15" t="s">
        <v>221</v>
      </c>
      <c r="E58" s="16" t="s">
        <v>55</v>
      </c>
      <c r="F58" s="16" t="s">
        <v>98</v>
      </c>
      <c r="G58" s="16" t="s">
        <v>218</v>
      </c>
      <c r="H58" s="16" t="s">
        <v>52</v>
      </c>
      <c r="I58" s="16"/>
      <c r="J58" s="16"/>
      <c r="P58" t="s">
        <v>134</v>
      </c>
      <c r="Q58" t="s">
        <v>16</v>
      </c>
      <c r="R58" t="s">
        <v>222</v>
      </c>
      <c r="S58" t="s">
        <v>58</v>
      </c>
      <c r="T58" t="s">
        <v>77</v>
      </c>
      <c r="U58" t="s">
        <v>60</v>
      </c>
    </row>
    <row r="59" spans="2:21" ht="22.5" customHeight="1">
      <c r="B59" s="63"/>
      <c r="C59" s="16" t="s">
        <v>223</v>
      </c>
      <c r="D59" s="16" t="s">
        <v>224</v>
      </c>
      <c r="E59" s="16" t="s">
        <v>55</v>
      </c>
      <c r="F59" s="16" t="s">
        <v>17</v>
      </c>
      <c r="G59" s="16" t="s">
        <v>125</v>
      </c>
      <c r="H59" s="16" t="s">
        <v>225</v>
      </c>
      <c r="I59" s="16" t="s">
        <v>127</v>
      </c>
      <c r="J59" s="16">
        <v>3</v>
      </c>
      <c r="P59" t="s">
        <v>226</v>
      </c>
      <c r="Q59" t="s">
        <v>16</v>
      </c>
      <c r="R59" t="s">
        <v>76</v>
      </c>
      <c r="S59" t="s">
        <v>58</v>
      </c>
      <c r="T59" t="s">
        <v>77</v>
      </c>
      <c r="U59" t="s">
        <v>60</v>
      </c>
    </row>
    <row r="60" spans="2:21" ht="22.5" customHeight="1">
      <c r="B60" s="63"/>
      <c r="C60" s="16" t="s">
        <v>227</v>
      </c>
      <c r="D60" s="16" t="s">
        <v>228</v>
      </c>
      <c r="E60" s="16" t="s">
        <v>55</v>
      </c>
      <c r="F60" s="16" t="s">
        <v>17</v>
      </c>
      <c r="G60" s="16" t="s">
        <v>125</v>
      </c>
      <c r="H60" s="16" t="s">
        <v>229</v>
      </c>
      <c r="I60" s="16" t="s">
        <v>127</v>
      </c>
      <c r="J60" s="16">
        <v>3</v>
      </c>
      <c r="P60" t="s">
        <v>230</v>
      </c>
      <c r="Q60" t="s">
        <v>16</v>
      </c>
      <c r="R60" t="s">
        <v>76</v>
      </c>
      <c r="S60" t="s">
        <v>58</v>
      </c>
      <c r="T60" t="s">
        <v>77</v>
      </c>
      <c r="U60" t="s">
        <v>60</v>
      </c>
    </row>
    <row r="61" spans="2:21" ht="22.5" customHeight="1">
      <c r="B61" s="63"/>
      <c r="C61" s="16" t="s">
        <v>231</v>
      </c>
      <c r="D61" s="15" t="s">
        <v>232</v>
      </c>
      <c r="E61" s="16" t="s">
        <v>55</v>
      </c>
      <c r="F61" s="16" t="s">
        <v>98</v>
      </c>
      <c r="G61" s="16" t="s">
        <v>233</v>
      </c>
      <c r="H61" s="16" t="s">
        <v>234</v>
      </c>
      <c r="I61" s="16"/>
      <c r="J61" s="16"/>
      <c r="P61" t="s">
        <v>235</v>
      </c>
      <c r="Q61" t="s">
        <v>16</v>
      </c>
      <c r="R61" t="s">
        <v>76</v>
      </c>
      <c r="S61" t="s">
        <v>58</v>
      </c>
      <c r="T61" t="s">
        <v>77</v>
      </c>
      <c r="U61" t="s">
        <v>60</v>
      </c>
    </row>
    <row r="62" spans="2:21" ht="22.5" customHeight="1">
      <c r="B62" s="63"/>
      <c r="C62" s="16" t="s">
        <v>236</v>
      </c>
      <c r="D62" s="15" t="s">
        <v>237</v>
      </c>
      <c r="E62" s="16" t="s">
        <v>55</v>
      </c>
      <c r="F62" s="16" t="s">
        <v>98</v>
      </c>
      <c r="G62" s="16" t="s">
        <v>233</v>
      </c>
      <c r="H62" s="16" t="s">
        <v>234</v>
      </c>
      <c r="I62" s="16"/>
      <c r="J62" s="16"/>
      <c r="P62" t="s">
        <v>238</v>
      </c>
      <c r="Q62" t="s">
        <v>16</v>
      </c>
      <c r="R62" t="s">
        <v>81</v>
      </c>
      <c r="S62" t="s">
        <v>58</v>
      </c>
      <c r="T62" t="s">
        <v>59</v>
      </c>
      <c r="U62" t="s">
        <v>60</v>
      </c>
    </row>
    <row r="63" spans="2:21" ht="22.5" customHeight="1">
      <c r="B63" s="63"/>
      <c r="C63" s="16" t="s">
        <v>239</v>
      </c>
      <c r="D63" s="15" t="s">
        <v>240</v>
      </c>
      <c r="E63" s="16" t="s">
        <v>55</v>
      </c>
      <c r="F63" s="16" t="s">
        <v>98</v>
      </c>
      <c r="G63" s="16" t="s">
        <v>233</v>
      </c>
      <c r="H63" s="16" t="s">
        <v>234</v>
      </c>
      <c r="I63" s="16"/>
      <c r="J63" s="16"/>
      <c r="P63" t="s">
        <v>241</v>
      </c>
      <c r="Q63" t="s">
        <v>16</v>
      </c>
      <c r="R63" t="s">
        <v>242</v>
      </c>
      <c r="S63" t="s">
        <v>58</v>
      </c>
      <c r="T63" t="s">
        <v>59</v>
      </c>
      <c r="U63" t="s">
        <v>60</v>
      </c>
    </row>
    <row r="64" spans="2:21" ht="22.5" customHeight="1">
      <c r="B64" s="63"/>
      <c r="C64" s="16" t="s">
        <v>243</v>
      </c>
      <c r="D64" s="15" t="s">
        <v>244</v>
      </c>
      <c r="E64" s="16" t="s">
        <v>55</v>
      </c>
      <c r="F64" s="16" t="s">
        <v>17</v>
      </c>
      <c r="G64" s="16" t="s">
        <v>125</v>
      </c>
      <c r="H64" s="16" t="s">
        <v>199</v>
      </c>
      <c r="I64" s="16" t="s">
        <v>43</v>
      </c>
      <c r="J64" s="16">
        <v>3</v>
      </c>
      <c r="P64" t="s">
        <v>245</v>
      </c>
      <c r="Q64" t="s">
        <v>16</v>
      </c>
      <c r="R64" t="s">
        <v>81</v>
      </c>
      <c r="S64" t="s">
        <v>58</v>
      </c>
      <c r="T64" t="s">
        <v>59</v>
      </c>
      <c r="U64" t="s">
        <v>60</v>
      </c>
    </row>
    <row r="65" spans="2:21" ht="22.5" customHeight="1">
      <c r="B65" s="63"/>
      <c r="C65" s="16" t="s">
        <v>233</v>
      </c>
      <c r="D65" s="15" t="s">
        <v>246</v>
      </c>
      <c r="E65" s="16" t="s">
        <v>55</v>
      </c>
      <c r="F65" s="16" t="s">
        <v>98</v>
      </c>
      <c r="G65" s="16" t="s">
        <v>218</v>
      </c>
      <c r="H65" s="16" t="s">
        <v>234</v>
      </c>
      <c r="I65" s="16"/>
      <c r="J65" s="16"/>
      <c r="P65" t="s">
        <v>247</v>
      </c>
      <c r="Q65" t="s">
        <v>16</v>
      </c>
      <c r="R65" t="s">
        <v>45</v>
      </c>
      <c r="S65" t="s">
        <v>46</v>
      </c>
      <c r="T65" t="s">
        <v>47</v>
      </c>
      <c r="U65" t="s">
        <v>48</v>
      </c>
    </row>
    <row r="66" spans="2:21" ht="22.5" customHeight="1">
      <c r="B66" s="63"/>
      <c r="C66" s="16" t="s">
        <v>248</v>
      </c>
      <c r="D66" s="16" t="s">
        <v>67</v>
      </c>
      <c r="E66" s="69" t="s">
        <v>48</v>
      </c>
      <c r="F66" s="16" t="s">
        <v>17</v>
      </c>
      <c r="G66" s="16" t="s">
        <v>249</v>
      </c>
      <c r="H66" s="16" t="s">
        <v>52</v>
      </c>
      <c r="I66" s="16" t="s">
        <v>43</v>
      </c>
      <c r="J66" s="16">
        <v>3</v>
      </c>
      <c r="P66" t="s">
        <v>250</v>
      </c>
      <c r="Q66" t="s">
        <v>16</v>
      </c>
      <c r="R66" t="s">
        <v>81</v>
      </c>
      <c r="S66" t="s">
        <v>58</v>
      </c>
      <c r="T66" t="s">
        <v>59</v>
      </c>
      <c r="U66" t="s">
        <v>60</v>
      </c>
    </row>
    <row r="67" spans="2:21" ht="22.5" customHeight="1">
      <c r="B67" s="63"/>
      <c r="C67" s="16" t="s">
        <v>249</v>
      </c>
      <c r="D67" s="15" t="s">
        <v>251</v>
      </c>
      <c r="E67" s="16" t="s">
        <v>48</v>
      </c>
      <c r="F67" s="16" t="s">
        <v>98</v>
      </c>
      <c r="G67" s="16" t="s">
        <v>100</v>
      </c>
      <c r="H67" s="16" t="s">
        <v>52</v>
      </c>
      <c r="I67" s="16"/>
      <c r="J67" s="16"/>
      <c r="P67" t="s">
        <v>252</v>
      </c>
      <c r="Q67" t="s">
        <v>16</v>
      </c>
      <c r="R67" t="s">
        <v>133</v>
      </c>
      <c r="S67" t="s">
        <v>58</v>
      </c>
      <c r="T67" t="s">
        <v>134</v>
      </c>
      <c r="U67" t="s">
        <v>60</v>
      </c>
    </row>
    <row r="68" spans="2:21" ht="22.5" customHeight="1">
      <c r="B68" s="63"/>
      <c r="C68" s="16" t="s">
        <v>253</v>
      </c>
      <c r="D68" s="16" t="s">
        <v>254</v>
      </c>
      <c r="E68" s="16" t="s">
        <v>48</v>
      </c>
      <c r="F68" s="16" t="s">
        <v>17</v>
      </c>
      <c r="G68" s="16" t="s">
        <v>255</v>
      </c>
      <c r="H68" s="16" t="s">
        <v>256</v>
      </c>
      <c r="I68" s="16" t="s">
        <v>43</v>
      </c>
      <c r="J68" s="16">
        <v>3</v>
      </c>
      <c r="P68" t="s">
        <v>257</v>
      </c>
      <c r="Q68" t="s">
        <v>16</v>
      </c>
      <c r="R68" t="s">
        <v>133</v>
      </c>
      <c r="S68" t="s">
        <v>58</v>
      </c>
      <c r="T68" t="s">
        <v>134</v>
      </c>
      <c r="U68" t="s">
        <v>60</v>
      </c>
    </row>
    <row r="69" spans="2:21" ht="22.5" customHeight="1">
      <c r="B69" s="63"/>
      <c r="C69" s="16" t="s">
        <v>255</v>
      </c>
      <c r="D69" s="15" t="s">
        <v>258</v>
      </c>
      <c r="E69" s="16" t="s">
        <v>48</v>
      </c>
      <c r="F69" s="16" t="s">
        <v>98</v>
      </c>
      <c r="G69" s="16" t="s">
        <v>249</v>
      </c>
      <c r="H69" s="16" t="s">
        <v>256</v>
      </c>
      <c r="I69" s="16"/>
      <c r="J69" s="16"/>
      <c r="P69" t="s">
        <v>259</v>
      </c>
      <c r="Q69" t="s">
        <v>16</v>
      </c>
      <c r="R69" t="s">
        <v>45</v>
      </c>
      <c r="S69" t="s">
        <v>46</v>
      </c>
      <c r="T69" t="s">
        <v>47</v>
      </c>
      <c r="U69" t="s">
        <v>48</v>
      </c>
    </row>
    <row r="70" spans="2:21" ht="33.75" customHeight="1">
      <c r="B70" s="63"/>
      <c r="C70" s="16" t="s">
        <v>260</v>
      </c>
      <c r="D70" s="15" t="s">
        <v>261</v>
      </c>
      <c r="E70" s="16" t="s">
        <v>48</v>
      </c>
      <c r="F70" s="16" t="s">
        <v>15</v>
      </c>
      <c r="G70" s="16" t="s">
        <v>255</v>
      </c>
      <c r="H70" s="16" t="s">
        <v>256</v>
      </c>
      <c r="I70" s="16"/>
      <c r="J70" s="16"/>
      <c r="P70" t="s">
        <v>262</v>
      </c>
      <c r="Q70" t="s">
        <v>16</v>
      </c>
      <c r="R70" t="s">
        <v>81</v>
      </c>
      <c r="S70" t="s">
        <v>58</v>
      </c>
      <c r="T70" t="s">
        <v>59</v>
      </c>
      <c r="U70" t="s">
        <v>60</v>
      </c>
    </row>
    <row r="71" spans="2:21" ht="22.5" customHeight="1">
      <c r="B71" s="63"/>
      <c r="C71" s="16" t="s">
        <v>263</v>
      </c>
      <c r="D71" s="15" t="s">
        <v>264</v>
      </c>
      <c r="E71" s="16" t="s">
        <v>48</v>
      </c>
      <c r="F71" s="16" t="s">
        <v>15</v>
      </c>
      <c r="G71" s="16" t="s">
        <v>255</v>
      </c>
      <c r="H71" s="16" t="s">
        <v>256</v>
      </c>
      <c r="I71" s="16"/>
      <c r="J71" s="16"/>
      <c r="P71" t="s">
        <v>265</v>
      </c>
      <c r="Q71" t="s">
        <v>16</v>
      </c>
      <c r="R71" t="s">
        <v>76</v>
      </c>
      <c r="S71" t="s">
        <v>58</v>
      </c>
      <c r="T71" t="s">
        <v>77</v>
      </c>
      <c r="U71" t="s">
        <v>60</v>
      </c>
    </row>
    <row r="72" spans="2:21" ht="22.5" customHeight="1">
      <c r="B72" s="63"/>
      <c r="C72" s="16" t="s">
        <v>266</v>
      </c>
      <c r="D72" s="15" t="s">
        <v>267</v>
      </c>
      <c r="E72" s="16" t="s">
        <v>48</v>
      </c>
      <c r="F72" s="16" t="s">
        <v>98</v>
      </c>
      <c r="G72" s="16" t="s">
        <v>268</v>
      </c>
      <c r="H72" s="16" t="s">
        <v>269</v>
      </c>
      <c r="I72" s="16"/>
      <c r="J72" s="16"/>
      <c r="P72" t="s">
        <v>270</v>
      </c>
      <c r="Q72" t="s">
        <v>16</v>
      </c>
      <c r="R72" t="s">
        <v>76</v>
      </c>
      <c r="S72" t="s">
        <v>58</v>
      </c>
      <c r="T72" t="s">
        <v>77</v>
      </c>
      <c r="U72" t="s">
        <v>60</v>
      </c>
    </row>
    <row r="73" spans="2:21" ht="22.5" customHeight="1">
      <c r="B73" s="63"/>
      <c r="C73" s="16" t="s">
        <v>271</v>
      </c>
      <c r="D73" s="15" t="s">
        <v>272</v>
      </c>
      <c r="E73" s="16" t="s">
        <v>48</v>
      </c>
      <c r="F73" s="16" t="s">
        <v>98</v>
      </c>
      <c r="G73" s="16" t="s">
        <v>268</v>
      </c>
      <c r="H73" s="16" t="s">
        <v>269</v>
      </c>
      <c r="I73" s="16"/>
      <c r="J73" s="16"/>
      <c r="P73" t="s">
        <v>273</v>
      </c>
      <c r="Q73" t="s">
        <v>16</v>
      </c>
      <c r="R73" t="s">
        <v>57</v>
      </c>
      <c r="S73" t="s">
        <v>58</v>
      </c>
      <c r="T73" t="s">
        <v>59</v>
      </c>
      <c r="U73" t="s">
        <v>60</v>
      </c>
    </row>
    <row r="74" spans="2:21" ht="22.5" customHeight="1">
      <c r="B74" s="63"/>
      <c r="C74" s="16" t="s">
        <v>268</v>
      </c>
      <c r="D74" s="15" t="s">
        <v>274</v>
      </c>
      <c r="E74" s="16" t="s">
        <v>48</v>
      </c>
      <c r="F74" s="16" t="s">
        <v>98</v>
      </c>
      <c r="G74" s="16" t="s">
        <v>249</v>
      </c>
      <c r="H74" s="16" t="s">
        <v>269</v>
      </c>
      <c r="I74" s="16"/>
      <c r="J74" s="16"/>
      <c r="P74" t="s">
        <v>275</v>
      </c>
      <c r="Q74" t="s">
        <v>16</v>
      </c>
      <c r="R74" t="s">
        <v>276</v>
      </c>
      <c r="S74" t="s">
        <v>277</v>
      </c>
      <c r="T74" t="s">
        <v>278</v>
      </c>
      <c r="U74" t="s">
        <v>60</v>
      </c>
    </row>
    <row r="75" spans="2:21" ht="22.5" customHeight="1">
      <c r="B75" s="63"/>
      <c r="C75" s="16" t="s">
        <v>279</v>
      </c>
      <c r="D75" s="15" t="s">
        <v>280</v>
      </c>
      <c r="E75" s="16" t="s">
        <v>48</v>
      </c>
      <c r="F75" s="16" t="s">
        <v>98</v>
      </c>
      <c r="G75" s="16" t="s">
        <v>249</v>
      </c>
      <c r="H75" s="16" t="s">
        <v>269</v>
      </c>
      <c r="I75" s="16"/>
      <c r="J75" s="16"/>
      <c r="P75" t="s">
        <v>281</v>
      </c>
      <c r="Q75" t="s">
        <v>16</v>
      </c>
      <c r="R75" t="s">
        <v>276</v>
      </c>
      <c r="S75" t="s">
        <v>277</v>
      </c>
      <c r="T75" t="s">
        <v>278</v>
      </c>
      <c r="U75" t="s">
        <v>60</v>
      </c>
    </row>
    <row r="76" spans="2:21" ht="22.5" customHeight="1">
      <c r="B76" s="63"/>
      <c r="C76" s="16" t="s">
        <v>282</v>
      </c>
      <c r="D76" s="16" t="s">
        <v>283</v>
      </c>
      <c r="E76" s="16" t="s">
        <v>48</v>
      </c>
      <c r="F76" s="16" t="s">
        <v>17</v>
      </c>
      <c r="G76" s="16" t="s">
        <v>284</v>
      </c>
      <c r="H76" s="16" t="s">
        <v>285</v>
      </c>
      <c r="I76" s="16" t="s">
        <v>43</v>
      </c>
      <c r="J76" s="16">
        <v>3</v>
      </c>
      <c r="P76" t="s">
        <v>286</v>
      </c>
      <c r="Q76" t="s">
        <v>16</v>
      </c>
      <c r="R76" t="s">
        <v>276</v>
      </c>
      <c r="S76" t="s">
        <v>277</v>
      </c>
      <c r="T76" t="s">
        <v>278</v>
      </c>
      <c r="U76" t="s">
        <v>60</v>
      </c>
    </row>
    <row r="77" spans="2:21" ht="22.5" customHeight="1">
      <c r="B77" s="63"/>
      <c r="C77" s="16" t="s">
        <v>284</v>
      </c>
      <c r="D77" s="15" t="s">
        <v>287</v>
      </c>
      <c r="E77" s="16" t="s">
        <v>48</v>
      </c>
      <c r="F77" s="16" t="s">
        <v>98</v>
      </c>
      <c r="G77" s="16" t="s">
        <v>249</v>
      </c>
      <c r="H77" s="16" t="s">
        <v>285</v>
      </c>
      <c r="I77" s="16"/>
      <c r="J77" s="16"/>
      <c r="P77" t="s">
        <v>288</v>
      </c>
      <c r="Q77" t="s">
        <v>16</v>
      </c>
      <c r="R77" t="s">
        <v>276</v>
      </c>
      <c r="S77" t="s">
        <v>277</v>
      </c>
      <c r="T77" t="s">
        <v>278</v>
      </c>
      <c r="U77" t="s">
        <v>60</v>
      </c>
    </row>
    <row r="78" spans="2:21" ht="22.5" customHeight="1">
      <c r="B78" s="63"/>
      <c r="C78" s="16" t="s">
        <v>289</v>
      </c>
      <c r="D78" s="15" t="s">
        <v>290</v>
      </c>
      <c r="E78" s="16" t="s">
        <v>48</v>
      </c>
      <c r="F78" s="16" t="s">
        <v>15</v>
      </c>
      <c r="G78" s="16" t="s">
        <v>284</v>
      </c>
      <c r="H78" s="16" t="s">
        <v>285</v>
      </c>
      <c r="I78" s="16" t="s">
        <v>43</v>
      </c>
      <c r="J78" s="16"/>
      <c r="P78" t="s">
        <v>291</v>
      </c>
      <c r="Q78" t="s">
        <v>16</v>
      </c>
      <c r="R78" t="s">
        <v>276</v>
      </c>
      <c r="S78" t="s">
        <v>277</v>
      </c>
      <c r="T78" t="s">
        <v>278</v>
      </c>
      <c r="U78" t="s">
        <v>60</v>
      </c>
    </row>
    <row r="79" spans="2:21" ht="22.5" customHeight="1">
      <c r="B79" s="63"/>
      <c r="C79" s="16" t="s">
        <v>292</v>
      </c>
      <c r="D79" s="15" t="s">
        <v>293</v>
      </c>
      <c r="E79" s="16" t="s">
        <v>48</v>
      </c>
      <c r="F79" s="16" t="s">
        <v>17</v>
      </c>
      <c r="G79" s="16" t="s">
        <v>284</v>
      </c>
      <c r="H79" s="16" t="s">
        <v>285</v>
      </c>
      <c r="I79" s="16" t="s">
        <v>43</v>
      </c>
      <c r="J79" s="16">
        <v>3</v>
      </c>
      <c r="P79" t="s">
        <v>294</v>
      </c>
      <c r="Q79" t="s">
        <v>16</v>
      </c>
      <c r="R79" t="s">
        <v>276</v>
      </c>
      <c r="S79" t="s">
        <v>277</v>
      </c>
      <c r="T79" t="s">
        <v>278</v>
      </c>
      <c r="U79" t="s">
        <v>60</v>
      </c>
    </row>
    <row r="80" spans="2:21" ht="22.5" customHeight="1">
      <c r="B80" s="63"/>
      <c r="C80" s="16" t="s">
        <v>295</v>
      </c>
      <c r="D80" s="15" t="s">
        <v>293</v>
      </c>
      <c r="E80" s="16" t="s">
        <v>48</v>
      </c>
      <c r="F80" s="16" t="s">
        <v>17</v>
      </c>
      <c r="G80" s="16" t="s">
        <v>284</v>
      </c>
      <c r="H80" s="16" t="s">
        <v>285</v>
      </c>
      <c r="I80" s="16" t="s">
        <v>43</v>
      </c>
      <c r="J80" s="16">
        <v>3</v>
      </c>
      <c r="P80" t="s">
        <v>296</v>
      </c>
      <c r="Q80" t="s">
        <v>16</v>
      </c>
      <c r="R80" t="s">
        <v>276</v>
      </c>
      <c r="S80" t="s">
        <v>277</v>
      </c>
      <c r="T80" t="s">
        <v>278</v>
      </c>
      <c r="U80" t="s">
        <v>60</v>
      </c>
    </row>
    <row r="81" spans="2:21" ht="22.5" customHeight="1">
      <c r="B81" s="63"/>
      <c r="C81" s="16" t="s">
        <v>297</v>
      </c>
      <c r="D81" s="15" t="s">
        <v>293</v>
      </c>
      <c r="E81" s="16" t="s">
        <v>48</v>
      </c>
      <c r="F81" s="16" t="s">
        <v>17</v>
      </c>
      <c r="G81" s="16" t="s">
        <v>284</v>
      </c>
      <c r="H81" s="16" t="s">
        <v>285</v>
      </c>
      <c r="I81" s="16" t="s">
        <v>43</v>
      </c>
      <c r="J81" s="16">
        <v>3</v>
      </c>
      <c r="P81" t="s">
        <v>298</v>
      </c>
      <c r="Q81" t="s">
        <v>16</v>
      </c>
      <c r="R81" t="s">
        <v>276</v>
      </c>
      <c r="S81" t="s">
        <v>277</v>
      </c>
      <c r="T81" t="s">
        <v>278</v>
      </c>
      <c r="U81" t="s">
        <v>60</v>
      </c>
    </row>
    <row r="82" spans="2:21" ht="22.5" customHeight="1">
      <c r="B82" s="63"/>
      <c r="C82" s="16" t="s">
        <v>299</v>
      </c>
      <c r="D82" s="15" t="s">
        <v>293</v>
      </c>
      <c r="E82" s="16" t="s">
        <v>48</v>
      </c>
      <c r="F82" s="16" t="s">
        <v>17</v>
      </c>
      <c r="G82" s="16" t="s">
        <v>284</v>
      </c>
      <c r="H82" s="16" t="s">
        <v>285</v>
      </c>
      <c r="I82" s="16" t="s">
        <v>43</v>
      </c>
      <c r="J82" s="16">
        <v>3</v>
      </c>
      <c r="P82" t="s">
        <v>300</v>
      </c>
      <c r="Q82" t="s">
        <v>16</v>
      </c>
      <c r="R82" t="s">
        <v>276</v>
      </c>
      <c r="S82" t="s">
        <v>277</v>
      </c>
      <c r="T82" t="s">
        <v>278</v>
      </c>
      <c r="U82" t="s">
        <v>60</v>
      </c>
    </row>
    <row r="83" spans="2:21" ht="22.5" customHeight="1">
      <c r="B83" s="63"/>
      <c r="C83" s="16" t="s">
        <v>301</v>
      </c>
      <c r="D83" s="15" t="s">
        <v>302</v>
      </c>
      <c r="E83" s="16" t="s">
        <v>48</v>
      </c>
      <c r="F83" s="16" t="s">
        <v>15</v>
      </c>
      <c r="G83" s="16" t="s">
        <v>284</v>
      </c>
      <c r="H83" s="16" t="s">
        <v>285</v>
      </c>
      <c r="I83" s="16"/>
      <c r="J83" s="16"/>
      <c r="P83" t="s">
        <v>303</v>
      </c>
      <c r="Q83" t="s">
        <v>16</v>
      </c>
      <c r="R83" t="s">
        <v>276</v>
      </c>
      <c r="S83" t="s">
        <v>277</v>
      </c>
      <c r="T83" t="s">
        <v>278</v>
      </c>
      <c r="U83" t="s">
        <v>60</v>
      </c>
    </row>
    <row r="84" spans="2:21" ht="22.5" customHeight="1">
      <c r="B84" s="63"/>
      <c r="C84" s="16" t="s">
        <v>304</v>
      </c>
      <c r="D84" s="16" t="s">
        <v>67</v>
      </c>
      <c r="E84" s="16" t="s">
        <v>60</v>
      </c>
      <c r="F84" s="16" t="s">
        <v>17</v>
      </c>
      <c r="G84" s="16" t="s">
        <v>305</v>
      </c>
      <c r="H84" s="16" t="s">
        <v>52</v>
      </c>
      <c r="I84" s="16" t="s">
        <v>43</v>
      </c>
      <c r="J84" s="16">
        <v>3</v>
      </c>
      <c r="P84" t="s">
        <v>306</v>
      </c>
      <c r="Q84" t="s">
        <v>16</v>
      </c>
      <c r="R84" t="s">
        <v>307</v>
      </c>
      <c r="S84" t="s">
        <v>277</v>
      </c>
      <c r="T84" t="s">
        <v>278</v>
      </c>
      <c r="U84" t="s">
        <v>60</v>
      </c>
    </row>
    <row r="85" spans="2:21" ht="22.5" customHeight="1">
      <c r="B85" s="63"/>
      <c r="C85" s="16" t="s">
        <v>308</v>
      </c>
      <c r="D85" s="16" t="s">
        <v>67</v>
      </c>
      <c r="E85" s="16" t="s">
        <v>60</v>
      </c>
      <c r="F85" s="16" t="s">
        <v>17</v>
      </c>
      <c r="G85" s="16" t="s">
        <v>305</v>
      </c>
      <c r="H85" s="16" t="s">
        <v>52</v>
      </c>
      <c r="I85" s="16" t="s">
        <v>43</v>
      </c>
      <c r="J85" s="16">
        <v>3</v>
      </c>
      <c r="P85" t="s">
        <v>309</v>
      </c>
      <c r="Q85" t="s">
        <v>16</v>
      </c>
      <c r="R85" t="s">
        <v>310</v>
      </c>
      <c r="S85" t="s">
        <v>277</v>
      </c>
      <c r="T85" t="s">
        <v>278</v>
      </c>
      <c r="U85" t="s">
        <v>60</v>
      </c>
    </row>
    <row r="86" spans="2:21" ht="22.5" customHeight="1">
      <c r="B86" s="63"/>
      <c r="C86" s="16" t="s">
        <v>305</v>
      </c>
      <c r="D86" s="15" t="s">
        <v>311</v>
      </c>
      <c r="E86" s="16" t="s">
        <v>60</v>
      </c>
      <c r="F86" s="16" t="s">
        <v>98</v>
      </c>
      <c r="G86" s="16" t="s">
        <v>100</v>
      </c>
      <c r="H86" s="16" t="s">
        <v>52</v>
      </c>
      <c r="I86" s="16"/>
      <c r="J86" s="16"/>
      <c r="P86" t="s">
        <v>312</v>
      </c>
      <c r="Q86" t="s">
        <v>16</v>
      </c>
      <c r="R86" t="s">
        <v>276</v>
      </c>
      <c r="S86" t="s">
        <v>277</v>
      </c>
      <c r="T86" t="s">
        <v>278</v>
      </c>
      <c r="U86" t="s">
        <v>60</v>
      </c>
    </row>
    <row r="87" spans="2:21" ht="22.5" customHeight="1">
      <c r="B87" s="63"/>
      <c r="C87" s="16" t="s">
        <v>110</v>
      </c>
      <c r="D87" s="15" t="s">
        <v>313</v>
      </c>
      <c r="E87" s="16" t="s">
        <v>60</v>
      </c>
      <c r="F87" s="16" t="s">
        <v>98</v>
      </c>
      <c r="G87" s="16" t="s">
        <v>314</v>
      </c>
      <c r="H87" s="16" t="s">
        <v>58</v>
      </c>
      <c r="I87" s="16"/>
      <c r="J87" s="16"/>
      <c r="P87" t="s">
        <v>315</v>
      </c>
      <c r="Q87" t="s">
        <v>16</v>
      </c>
      <c r="R87" t="s">
        <v>276</v>
      </c>
      <c r="S87" t="s">
        <v>277</v>
      </c>
      <c r="T87" t="s">
        <v>278</v>
      </c>
      <c r="U87" t="s">
        <v>60</v>
      </c>
    </row>
    <row r="88" spans="2:21" ht="22.5" customHeight="1">
      <c r="B88" s="63"/>
      <c r="C88" s="16" t="s">
        <v>77</v>
      </c>
      <c r="D88" s="15" t="s">
        <v>316</v>
      </c>
      <c r="E88" s="16" t="s">
        <v>60</v>
      </c>
      <c r="F88" s="16" t="s">
        <v>98</v>
      </c>
      <c r="G88" s="16" t="s">
        <v>314</v>
      </c>
      <c r="H88" s="16" t="s">
        <v>58</v>
      </c>
      <c r="I88" s="16"/>
      <c r="J88" s="16"/>
      <c r="P88" t="s">
        <v>317</v>
      </c>
      <c r="Q88" t="s">
        <v>16</v>
      </c>
      <c r="R88" t="s">
        <v>276</v>
      </c>
      <c r="S88" t="s">
        <v>277</v>
      </c>
      <c r="T88" t="s">
        <v>278</v>
      </c>
      <c r="U88" t="s">
        <v>60</v>
      </c>
    </row>
    <row r="89" spans="2:21" ht="22.5" customHeight="1">
      <c r="B89" s="63"/>
      <c r="C89" s="16" t="s">
        <v>318</v>
      </c>
      <c r="D89" s="15" t="s">
        <v>319</v>
      </c>
      <c r="E89" s="16" t="s">
        <v>60</v>
      </c>
      <c r="F89" s="16" t="s">
        <v>98</v>
      </c>
      <c r="G89" s="16" t="s">
        <v>77</v>
      </c>
      <c r="H89" s="16" t="s">
        <v>58</v>
      </c>
      <c r="I89" s="16"/>
      <c r="J89" s="16"/>
      <c r="P89" t="s">
        <v>320</v>
      </c>
      <c r="Q89" t="s">
        <v>16</v>
      </c>
      <c r="R89" t="s">
        <v>276</v>
      </c>
      <c r="S89" t="s">
        <v>277</v>
      </c>
      <c r="T89" t="s">
        <v>278</v>
      </c>
      <c r="U89" t="s">
        <v>60</v>
      </c>
    </row>
    <row r="90" spans="2:21" ht="22.5" customHeight="1">
      <c r="B90" s="63"/>
      <c r="C90" s="16" t="s">
        <v>321</v>
      </c>
      <c r="D90" s="15" t="s">
        <v>322</v>
      </c>
      <c r="E90" s="16" t="s">
        <v>60</v>
      </c>
      <c r="F90" s="16" t="s">
        <v>98</v>
      </c>
      <c r="G90" s="16" t="s">
        <v>110</v>
      </c>
      <c r="H90" s="16" t="s">
        <v>58</v>
      </c>
      <c r="I90" s="16"/>
      <c r="J90" s="16"/>
      <c r="P90" t="s">
        <v>323</v>
      </c>
      <c r="Q90" t="s">
        <v>16</v>
      </c>
      <c r="R90" t="s">
        <v>276</v>
      </c>
      <c r="S90" t="s">
        <v>277</v>
      </c>
      <c r="T90" t="s">
        <v>278</v>
      </c>
      <c r="U90" t="s">
        <v>60</v>
      </c>
    </row>
    <row r="91" spans="2:21" ht="22.5" customHeight="1">
      <c r="B91" s="63"/>
      <c r="C91" s="16" t="s">
        <v>324</v>
      </c>
      <c r="D91" s="15" t="s">
        <v>325</v>
      </c>
      <c r="E91" s="16" t="s">
        <v>60</v>
      </c>
      <c r="F91" s="16" t="s">
        <v>98</v>
      </c>
      <c r="G91" s="16" t="s">
        <v>77</v>
      </c>
      <c r="H91" s="16" t="s">
        <v>58</v>
      </c>
      <c r="I91" s="16"/>
      <c r="J91" s="16"/>
      <c r="P91" t="s">
        <v>326</v>
      </c>
      <c r="Q91" t="s">
        <v>16</v>
      </c>
      <c r="R91" t="s">
        <v>276</v>
      </c>
      <c r="S91" t="s">
        <v>277</v>
      </c>
      <c r="T91" t="s">
        <v>278</v>
      </c>
      <c r="U91" t="s">
        <v>60</v>
      </c>
    </row>
    <row r="92" spans="2:21" ht="22.5" customHeight="1">
      <c r="B92" s="63"/>
      <c r="C92" s="16" t="s">
        <v>314</v>
      </c>
      <c r="D92" s="15" t="s">
        <v>327</v>
      </c>
      <c r="E92" s="16" t="s">
        <v>60</v>
      </c>
      <c r="F92" s="16" t="s">
        <v>98</v>
      </c>
      <c r="G92" s="16" t="s">
        <v>305</v>
      </c>
      <c r="H92" s="16" t="s">
        <v>58</v>
      </c>
      <c r="I92" s="16"/>
      <c r="J92" s="16"/>
      <c r="P92" t="s">
        <v>328</v>
      </c>
      <c r="Q92" t="s">
        <v>16</v>
      </c>
      <c r="R92" t="s">
        <v>276</v>
      </c>
      <c r="S92" t="s">
        <v>277</v>
      </c>
      <c r="T92" t="s">
        <v>278</v>
      </c>
      <c r="U92" t="s">
        <v>60</v>
      </c>
    </row>
    <row r="93" spans="2:21" ht="22.5" customHeight="1">
      <c r="B93" s="63"/>
      <c r="C93" s="16" t="s">
        <v>329</v>
      </c>
      <c r="D93" s="15" t="s">
        <v>330</v>
      </c>
      <c r="E93" s="16" t="s">
        <v>60</v>
      </c>
      <c r="F93" s="16" t="s">
        <v>14</v>
      </c>
      <c r="G93" s="16" t="s">
        <v>110</v>
      </c>
      <c r="H93" s="16" t="s">
        <v>58</v>
      </c>
      <c r="I93" s="16"/>
      <c r="J93" s="16"/>
      <c r="P93" t="s">
        <v>331</v>
      </c>
      <c r="Q93" t="s">
        <v>16</v>
      </c>
      <c r="R93" t="s">
        <v>332</v>
      </c>
      <c r="S93" t="s">
        <v>256</v>
      </c>
      <c r="T93" t="s">
        <v>255</v>
      </c>
      <c r="U93" t="s">
        <v>48</v>
      </c>
    </row>
    <row r="94" spans="2:21" ht="22.5" customHeight="1">
      <c r="B94" s="63"/>
      <c r="C94" s="16" t="s">
        <v>333</v>
      </c>
      <c r="D94" s="15" t="s">
        <v>334</v>
      </c>
      <c r="E94" s="16" t="s">
        <v>60</v>
      </c>
      <c r="F94" s="16" t="s">
        <v>98</v>
      </c>
      <c r="G94" s="16" t="s">
        <v>335</v>
      </c>
      <c r="H94" s="16" t="s">
        <v>277</v>
      </c>
      <c r="I94" s="16"/>
      <c r="J94" s="16"/>
      <c r="P94" t="s">
        <v>336</v>
      </c>
      <c r="Q94" t="s">
        <v>16</v>
      </c>
      <c r="R94" t="s">
        <v>332</v>
      </c>
      <c r="S94" t="s">
        <v>256</v>
      </c>
      <c r="T94" t="s">
        <v>255</v>
      </c>
      <c r="U94" t="s">
        <v>48</v>
      </c>
    </row>
    <row r="95" spans="2:21" ht="22.5" customHeight="1">
      <c r="B95" s="63"/>
      <c r="C95" s="16" t="s">
        <v>335</v>
      </c>
      <c r="D95" s="15" t="s">
        <v>337</v>
      </c>
      <c r="E95" s="16" t="s">
        <v>60</v>
      </c>
      <c r="F95" s="16" t="s">
        <v>98</v>
      </c>
      <c r="G95" s="16" t="s">
        <v>305</v>
      </c>
      <c r="H95" s="16" t="s">
        <v>277</v>
      </c>
      <c r="I95" s="16"/>
      <c r="J95" s="16"/>
      <c r="P95" t="s">
        <v>338</v>
      </c>
      <c r="Q95" t="s">
        <v>16</v>
      </c>
      <c r="R95" t="s">
        <v>332</v>
      </c>
      <c r="S95" t="s">
        <v>256</v>
      </c>
      <c r="T95" t="s">
        <v>255</v>
      </c>
      <c r="U95" t="s">
        <v>48</v>
      </c>
    </row>
    <row r="96" spans="2:21" ht="22.5" customHeight="1">
      <c r="B96" s="63"/>
      <c r="C96" s="16" t="s">
        <v>339</v>
      </c>
      <c r="D96" s="15" t="s">
        <v>340</v>
      </c>
      <c r="E96" s="16" t="s">
        <v>60</v>
      </c>
      <c r="F96" s="16" t="s">
        <v>98</v>
      </c>
      <c r="G96" s="16" t="s">
        <v>335</v>
      </c>
      <c r="H96" s="16" t="s">
        <v>277</v>
      </c>
      <c r="I96" s="16"/>
      <c r="J96" s="16"/>
      <c r="P96" t="s">
        <v>341</v>
      </c>
      <c r="Q96" t="s">
        <v>16</v>
      </c>
      <c r="R96" t="s">
        <v>332</v>
      </c>
      <c r="S96" t="s">
        <v>256</v>
      </c>
      <c r="T96" t="s">
        <v>255</v>
      </c>
      <c r="U96" t="s">
        <v>48</v>
      </c>
    </row>
    <row r="97" spans="2:21" ht="22.5" customHeight="1">
      <c r="B97" s="63"/>
      <c r="C97" s="16" t="s">
        <v>278</v>
      </c>
      <c r="D97" s="15" t="s">
        <v>342</v>
      </c>
      <c r="E97" s="16" t="s">
        <v>60</v>
      </c>
      <c r="F97" s="16" t="s">
        <v>98</v>
      </c>
      <c r="G97" s="16" t="s">
        <v>335</v>
      </c>
      <c r="H97" s="16" t="s">
        <v>277</v>
      </c>
      <c r="I97" s="16"/>
      <c r="J97" s="16"/>
      <c r="P97" t="s">
        <v>343</v>
      </c>
      <c r="Q97" t="s">
        <v>16</v>
      </c>
      <c r="R97" t="s">
        <v>332</v>
      </c>
      <c r="S97" t="s">
        <v>256</v>
      </c>
      <c r="T97" t="s">
        <v>255</v>
      </c>
      <c r="U97" t="s">
        <v>48</v>
      </c>
    </row>
    <row r="98" spans="2:21" ht="22.5" customHeight="1">
      <c r="B98" s="63"/>
      <c r="C98" s="16" t="s">
        <v>344</v>
      </c>
      <c r="D98" s="16" t="s">
        <v>345</v>
      </c>
      <c r="E98" s="16" t="s">
        <v>60</v>
      </c>
      <c r="F98" s="16" t="s">
        <v>17</v>
      </c>
      <c r="G98" s="16" t="s">
        <v>346</v>
      </c>
      <c r="H98" s="16" t="s">
        <v>347</v>
      </c>
      <c r="I98" s="16" t="s">
        <v>127</v>
      </c>
      <c r="J98" s="16">
        <v>3</v>
      </c>
      <c r="P98" t="s">
        <v>348</v>
      </c>
      <c r="Q98" t="s">
        <v>16</v>
      </c>
      <c r="R98" t="s">
        <v>332</v>
      </c>
      <c r="S98" t="s">
        <v>256</v>
      </c>
      <c r="T98" t="s">
        <v>255</v>
      </c>
      <c r="U98" t="s">
        <v>48</v>
      </c>
    </row>
    <row r="99" spans="2:21" ht="22.5" customHeight="1">
      <c r="B99" s="63"/>
      <c r="C99" s="16" t="s">
        <v>349</v>
      </c>
      <c r="D99" s="16" t="s">
        <v>345</v>
      </c>
      <c r="E99" s="16" t="s">
        <v>60</v>
      </c>
      <c r="F99" s="16" t="s">
        <v>17</v>
      </c>
      <c r="G99" s="16" t="s">
        <v>346</v>
      </c>
      <c r="H99" s="16" t="s">
        <v>347</v>
      </c>
      <c r="I99" s="16" t="s">
        <v>127</v>
      </c>
      <c r="J99" s="16">
        <v>3</v>
      </c>
      <c r="P99" t="s">
        <v>350</v>
      </c>
      <c r="Q99" t="s">
        <v>16</v>
      </c>
      <c r="R99" t="s">
        <v>351</v>
      </c>
      <c r="S99" t="s">
        <v>285</v>
      </c>
      <c r="T99" t="s">
        <v>284</v>
      </c>
      <c r="U99" t="s">
        <v>48</v>
      </c>
    </row>
    <row r="100" spans="2:21" ht="22.5" customHeight="1">
      <c r="B100" s="63"/>
      <c r="C100" s="16" t="s">
        <v>352</v>
      </c>
      <c r="D100" s="16" t="s">
        <v>345</v>
      </c>
      <c r="E100" s="16" t="s">
        <v>60</v>
      </c>
      <c r="F100" s="16" t="s">
        <v>17</v>
      </c>
      <c r="G100" s="16" t="s">
        <v>346</v>
      </c>
      <c r="H100" s="16" t="s">
        <v>347</v>
      </c>
      <c r="I100" s="16" t="s">
        <v>43</v>
      </c>
      <c r="J100" s="16">
        <v>3</v>
      </c>
      <c r="P100" t="s">
        <v>353</v>
      </c>
      <c r="Q100" t="s">
        <v>16</v>
      </c>
      <c r="R100" t="s">
        <v>332</v>
      </c>
      <c r="S100" t="s">
        <v>256</v>
      </c>
      <c r="T100" t="s">
        <v>255</v>
      </c>
      <c r="U100" t="s">
        <v>48</v>
      </c>
    </row>
    <row r="101" spans="2:21" ht="22.5" customHeight="1">
      <c r="B101" s="63"/>
      <c r="C101" s="16" t="s">
        <v>354</v>
      </c>
      <c r="D101" s="16" t="s">
        <v>345</v>
      </c>
      <c r="E101" s="16" t="s">
        <v>60</v>
      </c>
      <c r="F101" s="16" t="s">
        <v>17</v>
      </c>
      <c r="G101" s="16" t="s">
        <v>346</v>
      </c>
      <c r="H101" s="16" t="s">
        <v>347</v>
      </c>
      <c r="I101" s="16" t="s">
        <v>127</v>
      </c>
      <c r="J101" s="16">
        <v>3</v>
      </c>
      <c r="P101" t="s">
        <v>355</v>
      </c>
      <c r="Q101" t="s">
        <v>16</v>
      </c>
      <c r="R101" t="s">
        <v>332</v>
      </c>
      <c r="S101" t="s">
        <v>256</v>
      </c>
      <c r="T101" t="s">
        <v>255</v>
      </c>
      <c r="U101" t="s">
        <v>48</v>
      </c>
    </row>
    <row r="102" spans="2:21" ht="22.5" customHeight="1">
      <c r="B102" s="63"/>
      <c r="C102" s="16" t="s">
        <v>356</v>
      </c>
      <c r="D102" s="16" t="s">
        <v>345</v>
      </c>
      <c r="E102" s="16" t="s">
        <v>60</v>
      </c>
      <c r="F102" s="16" t="s">
        <v>17</v>
      </c>
      <c r="G102" s="16" t="s">
        <v>346</v>
      </c>
      <c r="H102" s="16" t="s">
        <v>347</v>
      </c>
      <c r="I102" s="16" t="s">
        <v>43</v>
      </c>
      <c r="J102" s="16">
        <v>3</v>
      </c>
      <c r="P102" t="s">
        <v>289</v>
      </c>
      <c r="Q102" t="s">
        <v>16</v>
      </c>
      <c r="R102" t="s">
        <v>357</v>
      </c>
      <c r="S102" t="s">
        <v>285</v>
      </c>
      <c r="T102" t="s">
        <v>284</v>
      </c>
      <c r="U102" t="s">
        <v>48</v>
      </c>
    </row>
    <row r="103" spans="2:21" ht="22.5" customHeight="1">
      <c r="B103" s="63"/>
      <c r="C103" s="16" t="s">
        <v>358</v>
      </c>
      <c r="D103" s="16"/>
      <c r="E103" s="16" t="s">
        <v>60</v>
      </c>
      <c r="F103" s="16" t="s">
        <v>17</v>
      </c>
      <c r="G103" s="16"/>
      <c r="H103" s="16"/>
      <c r="I103" s="16" t="s">
        <v>43</v>
      </c>
      <c r="J103" s="16">
        <v>3</v>
      </c>
      <c r="P103" t="s">
        <v>359</v>
      </c>
      <c r="Q103" t="s">
        <v>16</v>
      </c>
      <c r="R103" t="s">
        <v>332</v>
      </c>
      <c r="S103" t="s">
        <v>256</v>
      </c>
      <c r="T103" t="s">
        <v>255</v>
      </c>
      <c r="U103" t="s">
        <v>48</v>
      </c>
    </row>
    <row r="104" spans="2:21" ht="22.5" customHeight="1">
      <c r="B104" s="63"/>
      <c r="C104" s="16" t="s">
        <v>360</v>
      </c>
      <c r="D104" s="16"/>
      <c r="E104" s="16" t="s">
        <v>60</v>
      </c>
      <c r="F104" s="16" t="s">
        <v>17</v>
      </c>
      <c r="G104" s="16"/>
      <c r="H104" s="16"/>
      <c r="I104" s="16" t="s">
        <v>43</v>
      </c>
      <c r="J104" s="16">
        <v>3</v>
      </c>
      <c r="P104" t="s">
        <v>361</v>
      </c>
      <c r="Q104" t="s">
        <v>16</v>
      </c>
      <c r="R104" t="s">
        <v>332</v>
      </c>
      <c r="S104" t="s">
        <v>256</v>
      </c>
      <c r="T104" t="s">
        <v>255</v>
      </c>
      <c r="U104" t="s">
        <v>48</v>
      </c>
    </row>
    <row r="105" spans="2:21" ht="22.5" customHeight="1">
      <c r="B105" s="63"/>
      <c r="C105" s="16" t="s">
        <v>362</v>
      </c>
      <c r="D105" s="16"/>
      <c r="E105" s="16" t="s">
        <v>60</v>
      </c>
      <c r="F105" s="16" t="s">
        <v>17</v>
      </c>
      <c r="G105" s="16"/>
      <c r="H105" s="16"/>
      <c r="I105" s="16" t="s">
        <v>43</v>
      </c>
      <c r="J105" s="16">
        <v>3</v>
      </c>
      <c r="P105" t="s">
        <v>363</v>
      </c>
      <c r="Q105" t="s">
        <v>16</v>
      </c>
      <c r="R105" t="s">
        <v>64</v>
      </c>
      <c r="S105" t="s">
        <v>199</v>
      </c>
      <c r="T105" t="s">
        <v>65</v>
      </c>
      <c r="U105" t="s">
        <v>55</v>
      </c>
    </row>
    <row r="106" spans="2:21" ht="22.5" customHeight="1">
      <c r="B106" s="63"/>
      <c r="C106" s="16" t="s">
        <v>364</v>
      </c>
      <c r="D106" s="16"/>
      <c r="E106" s="16" t="s">
        <v>60</v>
      </c>
      <c r="F106" s="16" t="s">
        <v>17</v>
      </c>
      <c r="G106" s="16"/>
      <c r="H106" s="16"/>
      <c r="I106" s="16" t="s">
        <v>43</v>
      </c>
      <c r="J106" s="16">
        <v>3</v>
      </c>
    </row>
    <row r="107" spans="2:21" ht="22.5" customHeight="1">
      <c r="B107" s="63"/>
      <c r="C107" s="16" t="s">
        <v>365</v>
      </c>
      <c r="D107" s="15" t="s">
        <v>366</v>
      </c>
      <c r="E107" s="16" t="s">
        <v>60</v>
      </c>
      <c r="F107" s="16" t="s">
        <v>98</v>
      </c>
      <c r="G107" s="16" t="s">
        <v>346</v>
      </c>
      <c r="H107" s="16" t="s">
        <v>347</v>
      </c>
      <c r="I107" s="16"/>
      <c r="J107" s="16"/>
    </row>
    <row r="108" spans="2:21" ht="22.5" customHeight="1">
      <c r="B108" s="63"/>
      <c r="C108" s="16" t="s">
        <v>346</v>
      </c>
      <c r="D108" s="15" t="s">
        <v>367</v>
      </c>
      <c r="E108" s="16" t="s">
        <v>60</v>
      </c>
      <c r="F108" s="16" t="s">
        <v>98</v>
      </c>
      <c r="G108" s="16" t="s">
        <v>305</v>
      </c>
      <c r="H108" s="16" t="s">
        <v>347</v>
      </c>
      <c r="I108" s="16"/>
      <c r="J108" s="16"/>
    </row>
    <row r="109" spans="2:21" ht="22.5" customHeight="1">
      <c r="B109" s="63"/>
      <c r="C109" s="16" t="s">
        <v>368</v>
      </c>
      <c r="D109" s="16" t="s">
        <v>369</v>
      </c>
      <c r="E109" s="16" t="s">
        <v>370</v>
      </c>
      <c r="F109" s="16" t="s">
        <v>17</v>
      </c>
      <c r="G109" s="16" t="s">
        <v>371</v>
      </c>
      <c r="H109" s="16" t="s">
        <v>52</v>
      </c>
      <c r="I109" s="16" t="s">
        <v>43</v>
      </c>
      <c r="J109" s="16">
        <v>3</v>
      </c>
    </row>
    <row r="110" spans="2:21" ht="22.5" customHeight="1">
      <c r="B110" s="63"/>
      <c r="C110" s="16" t="s">
        <v>372</v>
      </c>
      <c r="D110" s="16" t="s">
        <v>67</v>
      </c>
      <c r="E110" s="16" t="s">
        <v>370</v>
      </c>
      <c r="F110" s="16" t="s">
        <v>17</v>
      </c>
      <c r="G110" s="16" t="s">
        <v>371</v>
      </c>
      <c r="H110" s="16" t="s">
        <v>52</v>
      </c>
      <c r="I110" s="16" t="s">
        <v>43</v>
      </c>
      <c r="J110" s="16">
        <v>3</v>
      </c>
    </row>
    <row r="111" spans="2:21" ht="22.5" customHeight="1">
      <c r="B111" s="63"/>
      <c r="C111" s="16" t="s">
        <v>373</v>
      </c>
      <c r="D111" s="16" t="s">
        <v>374</v>
      </c>
      <c r="E111" s="16" t="s">
        <v>55</v>
      </c>
      <c r="F111" s="16" t="s">
        <v>17</v>
      </c>
      <c r="G111" s="16" t="s">
        <v>233</v>
      </c>
      <c r="H111" s="16" t="s">
        <v>234</v>
      </c>
      <c r="I111" s="16" t="s">
        <v>43</v>
      </c>
      <c r="J111" s="16">
        <v>3</v>
      </c>
    </row>
    <row r="112" spans="2:21" ht="22.5" customHeight="1">
      <c r="B112" s="63"/>
      <c r="C112" s="16" t="s">
        <v>375</v>
      </c>
      <c r="D112" s="16" t="s">
        <v>141</v>
      </c>
      <c r="E112" s="16" t="s">
        <v>55</v>
      </c>
      <c r="F112" s="16" t="s">
        <v>17</v>
      </c>
      <c r="G112" s="16" t="s">
        <v>123</v>
      </c>
      <c r="H112" s="16" t="s">
        <v>126</v>
      </c>
      <c r="I112" s="16" t="s">
        <v>127</v>
      </c>
      <c r="J112" s="16">
        <v>3</v>
      </c>
    </row>
  </sheetData>
  <mergeCells count="2">
    <mergeCell ref="B1:E1"/>
    <mergeCell ref="B2:E2"/>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07B8-B7B1-4FA9-8C5E-A3CBDEAD9D1A}">
  <sheetPr>
    <tabColor rgb="FFCB4A27"/>
  </sheetPr>
  <dimension ref="A1:F45"/>
  <sheetViews>
    <sheetView topLeftCell="A26" workbookViewId="0">
      <selection activeCell="C35" sqref="C35"/>
    </sheetView>
  </sheetViews>
  <sheetFormatPr defaultRowHeight="28.5" customHeight="1"/>
  <cols>
    <col min="1" max="1" width="4.140625" customWidth="1"/>
    <col min="2" max="2" width="27.42578125" style="16" bestFit="1" customWidth="1"/>
    <col min="3" max="3" width="46.140625" style="16" bestFit="1" customWidth="1"/>
    <col min="4" max="4" width="30.140625" style="16" bestFit="1" customWidth="1"/>
    <col min="5" max="5" width="24.85546875" style="16" customWidth="1"/>
    <col min="6" max="6" width="22.42578125" style="16" customWidth="1"/>
  </cols>
  <sheetData>
    <row r="1" spans="1:6" ht="28.5" customHeight="1">
      <c r="A1" s="12"/>
      <c r="B1" s="84" t="s">
        <v>55</v>
      </c>
      <c r="C1" s="84"/>
      <c r="D1" s="84"/>
      <c r="E1" s="84"/>
      <c r="F1" s="84"/>
    </row>
    <row r="2" spans="1:6" ht="28.5" customHeight="1">
      <c r="A2" s="13"/>
      <c r="B2" s="85" t="s">
        <v>376</v>
      </c>
      <c r="C2" s="85"/>
      <c r="D2" s="85"/>
      <c r="E2" s="85"/>
      <c r="F2" s="85"/>
    </row>
    <row r="3" spans="1:6" ht="9" customHeight="1">
      <c r="B3" s="10"/>
      <c r="C3"/>
      <c r="D3"/>
      <c r="E3"/>
      <c r="F3"/>
    </row>
    <row r="4" spans="1:6" s="7" customFormat="1" ht="28.5" customHeight="1">
      <c r="B4" s="14" t="s">
        <v>2</v>
      </c>
      <c r="C4" s="14" t="s">
        <v>3</v>
      </c>
      <c r="D4" s="14" t="s">
        <v>377</v>
      </c>
      <c r="E4" s="14" t="s">
        <v>4</v>
      </c>
      <c r="F4" s="14" t="s">
        <v>28</v>
      </c>
    </row>
    <row r="5" spans="1:6" ht="28.5" customHeight="1">
      <c r="B5" s="15" t="str" cm="1">
        <f t="array" ref="B5:F45">_xlfn._xlws.FILTER(_xlfn.HSTACK( MasterDirectory[NAME], MasterDirectory[ROLE],MasterDirectory[SUB DEPT], MasterDirectory[PRIMARY STAKEHOLDER], MasterDirectory[EMPLOYMENT TYPE]), MasterDirectory[DEPARTMENT]="Digital Operations")</f>
        <v>Isaias Zuñiga</v>
      </c>
      <c r="C5" s="16" t="str">
        <v>AI Dev. Manager</v>
      </c>
      <c r="D5" s="16" t="str">
        <v>AI</v>
      </c>
      <c r="E5" s="16" t="str">
        <v>Ricky Kailiponi Jr.</v>
      </c>
      <c r="F5" s="16" t="str">
        <v>Professional Contractor</v>
      </c>
    </row>
    <row r="6" spans="1:6" ht="28.5" customHeight="1">
      <c r="B6" s="16" t="str">
        <v>Diego Huarsaya</v>
      </c>
      <c r="C6" s="16" t="str">
        <v>AI Engineer</v>
      </c>
      <c r="D6" s="16" t="str">
        <v>AI</v>
      </c>
      <c r="E6" s="16" t="str">
        <v>Jorge Chavez</v>
      </c>
      <c r="F6" s="16" t="str">
        <v>Professional Contractor</v>
      </c>
    </row>
    <row r="7" spans="1:6" ht="28.5" customHeight="1">
      <c r="B7" s="16" t="str">
        <v>Jorge Sosa</v>
      </c>
      <c r="C7" s="16" t="str">
        <v>AI Engineer</v>
      </c>
      <c r="D7" s="16" t="str">
        <v>AI</v>
      </c>
      <c r="E7" s="16" t="str">
        <v>Isaias Zuñiga</v>
      </c>
      <c r="F7" s="16" t="str">
        <v>Professional Contractor</v>
      </c>
    </row>
    <row r="8" spans="1:6" ht="28.5" customHeight="1">
      <c r="B8" s="16" t="str">
        <v>Steven Tan</v>
      </c>
      <c r="C8" s="16" t="str">
        <v>AI Engineer</v>
      </c>
      <c r="D8" s="16" t="str">
        <v>AI</v>
      </c>
      <c r="E8" s="16" t="str">
        <v>Juan Camargo</v>
      </c>
      <c r="F8" s="16" t="str">
        <v>Professional Contractor</v>
      </c>
    </row>
    <row r="9" spans="1:6" ht="28.5" customHeight="1">
      <c r="B9" s="16" t="str">
        <v>Prosper Odinakachukwu</v>
      </c>
      <c r="C9" s="16" t="str">
        <v xml:space="preserve">AI Engineer </v>
      </c>
      <c r="D9" s="16" t="str">
        <v>AI</v>
      </c>
      <c r="E9" s="16" t="str">
        <v>Juan Camargo</v>
      </c>
      <c r="F9" s="16" t="str">
        <v>Professional Contractor</v>
      </c>
    </row>
    <row r="10" spans="1:6" ht="28.5" customHeight="1">
      <c r="B10" s="16" t="str">
        <v>Jorge Chavez</v>
      </c>
      <c r="C10" s="16" t="str">
        <v>Team Lead</v>
      </c>
      <c r="D10" s="16" t="str">
        <v>AI</v>
      </c>
      <c r="E10" s="16" t="str">
        <v>Isaias Zuñiga</v>
      </c>
      <c r="F10" s="16" t="str">
        <v>Professional Contractor</v>
      </c>
    </row>
    <row r="11" spans="1:6" ht="28.5" customHeight="1">
      <c r="B11" s="16" t="str">
        <v>Juan Camargo</v>
      </c>
      <c r="C11" s="16" t="str">
        <v>Team Lead</v>
      </c>
      <c r="D11" s="16" t="str">
        <v>AI</v>
      </c>
      <c r="E11" s="16" t="str">
        <v>Isaias Zuñiga</v>
      </c>
      <c r="F11" s="16" t="str">
        <v>Professional Contractor</v>
      </c>
    </row>
    <row r="12" spans="1:6" ht="28.5" customHeight="1">
      <c r="B12" s="16" t="str">
        <v>Samuel Riveros</v>
      </c>
      <c r="C12" s="16" t="str">
        <v xml:space="preserve">Companion and  Special Projects Dev. Manager </v>
      </c>
      <c r="D12" s="16" t="str">
        <v>Companion and  Special Projects</v>
      </c>
      <c r="E12" s="16" t="str">
        <v>Ricky Kailiponi Jr.</v>
      </c>
      <c r="F12" s="16" t="str">
        <v>Professional Contractor</v>
      </c>
    </row>
    <row r="13" spans="1:6" ht="28.5" customHeight="1">
      <c r="B13" s="16" t="str">
        <v>Jacob Sanchez</v>
      </c>
      <c r="C13" s="16" t="str">
        <v>Companion Native Developer,  Security Champion</v>
      </c>
      <c r="D13" s="16" t="str">
        <v>Companion and  Special Projects</v>
      </c>
      <c r="E13" s="16" t="str">
        <v>Alirio Mieres</v>
      </c>
      <c r="F13" s="16" t="str">
        <v>Professional Contractor</v>
      </c>
    </row>
    <row r="14" spans="1:6" ht="28.5" customHeight="1">
      <c r="B14" s="16" t="str">
        <v>Valerie Sanchez</v>
      </c>
      <c r="C14" s="16" t="str">
        <v>Companion Web Developer</v>
      </c>
      <c r="D14" s="16" t="str">
        <v>Companion and  Special Projects</v>
      </c>
      <c r="E14" s="16" t="str">
        <v>Ariel Sanchez</v>
      </c>
      <c r="F14" s="16" t="str">
        <v>Professional Contractor</v>
      </c>
    </row>
    <row r="15" spans="1:6" ht="28.5" customHeight="1">
      <c r="B15" s="16" t="str">
        <v>Michelle Gutierrez</v>
      </c>
      <c r="C15" s="16" t="str">
        <v>Companion Web Developer,  Lead Designer</v>
      </c>
      <c r="D15" s="16" t="str">
        <v>Companion and  Special Projects</v>
      </c>
      <c r="E15" s="16" t="str">
        <v>Ariel Sanchez</v>
      </c>
      <c r="F15" s="16" t="str">
        <v>Professional Contractor</v>
      </c>
    </row>
    <row r="16" spans="1:6" ht="28.5" customHeight="1">
      <c r="B16" s="16" t="str">
        <v>Timileyin Omikunle</v>
      </c>
      <c r="C16" s="16" t="str">
        <v>Developer,  QA Champion</v>
      </c>
      <c r="D16" s="16" t="str">
        <v>Companion and  Special Projects</v>
      </c>
      <c r="E16" s="16" t="str">
        <v>Gabriel Bolivar</v>
      </c>
      <c r="F16" s="16" t="str">
        <v>Professional Contractor</v>
      </c>
    </row>
    <row r="17" spans="2:6" ht="28.5" customHeight="1">
      <c r="B17" s="16" t="str">
        <v>Alirio Mieres</v>
      </c>
      <c r="C17" s="16" t="str">
        <v>Team Lead,  Companion Web &amp; Native Developer</v>
      </c>
      <c r="D17" s="16" t="str">
        <v>Companion and  Special Projects</v>
      </c>
      <c r="E17" s="16" t="str">
        <v>Samuel Riveros</v>
      </c>
      <c r="F17" s="16" t="str">
        <v>Professional Contractor</v>
      </c>
    </row>
    <row r="18" spans="2:6" ht="28.5" customHeight="1">
      <c r="B18" s="16" t="str">
        <v>Ariel Sanchez</v>
      </c>
      <c r="C18" s="16" t="str">
        <v>Team Lead,  Companion Web Developer</v>
      </c>
      <c r="D18" s="16" t="str">
        <v>Companion and  Special Projects</v>
      </c>
      <c r="E18" s="16" t="str">
        <v>Samuel Riveros</v>
      </c>
      <c r="F18" s="16" t="str">
        <v>Professional Contractor</v>
      </c>
    </row>
    <row r="19" spans="2:6" ht="28.5" customHeight="1">
      <c r="B19" s="16" t="str">
        <v>Gabriel Bolivar</v>
      </c>
      <c r="C19" s="16" t="str">
        <v>Team Lead,  QA &amp; Documentation</v>
      </c>
      <c r="D19" s="16" t="str">
        <v>Companion and  Special Projects</v>
      </c>
      <c r="E19" s="16" t="str">
        <v>Samuel Riveros</v>
      </c>
      <c r="F19" s="16" t="str">
        <v>Professional Contractor</v>
      </c>
    </row>
    <row r="20" spans="2:6" ht="28.5" customHeight="1">
      <c r="B20" s="16" t="str">
        <v>John Ayinde</v>
      </c>
      <c r="C20" s="16" t="str">
        <v xml:space="preserve">  Team Lead </v>
      </c>
      <c r="D20" s="16" t="str">
        <v>D365 and  Automation</v>
      </c>
      <c r="E20" s="16" t="str">
        <v>Sebastian Vargas</v>
      </c>
      <c r="F20" s="16" t="str">
        <v>Professional Contractor</v>
      </c>
    </row>
    <row r="21" spans="2:6" ht="28.5" customHeight="1">
      <c r="B21" s="16" t="str">
        <v>Sebastian Vargas</v>
      </c>
      <c r="C21" s="16" t="str">
        <v xml:space="preserve"> D365 and  Automation Dev. Manager</v>
      </c>
      <c r="D21" s="16" t="str">
        <v>D365 and  Automation</v>
      </c>
      <c r="E21" s="16" t="str">
        <v>Ricky Kailiponi Jr.</v>
      </c>
      <c r="F21" s="16" t="str">
        <v>Professional Contractor</v>
      </c>
    </row>
    <row r="22" spans="2:6" ht="28.5" customHeight="1">
      <c r="B22" s="16" t="str">
        <v>Matias Gutierrez</v>
      </c>
      <c r="C22" s="16" t="str">
        <v xml:space="preserve"> Team Lead</v>
      </c>
      <c r="D22" s="16" t="str">
        <v>D365 and  Automation</v>
      </c>
      <c r="E22" s="16" t="str">
        <v>Sebastian Vargas</v>
      </c>
      <c r="F22" s="16" t="str">
        <v>Professional Contractor</v>
      </c>
    </row>
    <row r="23" spans="2:6" ht="28.5" customHeight="1">
      <c r="B23" s="16" t="str">
        <v>Elias Oyarzun</v>
      </c>
      <c r="C23" s="16" t="str">
        <v>PowerApps Developer</v>
      </c>
      <c r="D23" s="16" t="str">
        <v>D365 and  Automation</v>
      </c>
      <c r="E23" s="16" t="str">
        <v>Matias Gutierrez</v>
      </c>
      <c r="F23" s="16" t="str">
        <v>Professional Contractor</v>
      </c>
    </row>
    <row r="24" spans="2:6" ht="28.5" customHeight="1">
      <c r="B24" s="16" t="str">
        <v>Ignacio Alvarez</v>
      </c>
      <c r="C24" s="16" t="str">
        <v>PowerApps Developer</v>
      </c>
      <c r="D24" s="16" t="str">
        <v>D365 and  Automation</v>
      </c>
      <c r="E24" s="16" t="str">
        <v>Sebastian Vargas</v>
      </c>
      <c r="F24" s="16" t="str">
        <v>Professional Contractor</v>
      </c>
    </row>
    <row r="25" spans="2:6" ht="28.5" customHeight="1">
      <c r="B25" s="16" t="str">
        <v>Jose Sanchez</v>
      </c>
      <c r="C25" s="16" t="str">
        <v>PowerApps Developer</v>
      </c>
      <c r="D25" s="16" t="str">
        <v>D365 and  Automation</v>
      </c>
      <c r="E25" s="16" t="str">
        <v>Matias Gutierrez</v>
      </c>
      <c r="F25" s="16" t="str">
        <v>Professional Contractor</v>
      </c>
    </row>
    <row r="26" spans="2:6" ht="28.5" customHeight="1">
      <c r="B26" s="16" t="str">
        <v>Rawin Olivera</v>
      </c>
      <c r="C26" s="16" t="str">
        <v>PowerApps Developer</v>
      </c>
      <c r="D26" s="16" t="str">
        <v>D365 and  Automation</v>
      </c>
      <c r="E26" s="16" t="str">
        <v>Sebastian Vargas</v>
      </c>
      <c r="F26" s="16" t="str">
        <v>Professional Contractor</v>
      </c>
    </row>
    <row r="27" spans="2:6" ht="28.5" customHeight="1">
      <c r="B27" s="16" t="str">
        <v>Rene Sanchez</v>
      </c>
      <c r="C27" s="16" t="str">
        <v>PowerApps Developer</v>
      </c>
      <c r="D27" s="16" t="str">
        <v>D365 and  Automation</v>
      </c>
      <c r="E27" s="16" t="str">
        <v>Sebastian Vargas</v>
      </c>
      <c r="F27" s="16" t="str">
        <v>Professional Contractor</v>
      </c>
    </row>
    <row r="28" spans="2:6" ht="28.5" customHeight="1">
      <c r="B28" s="16" t="str">
        <v>James De Guzman</v>
      </c>
      <c r="C28" s="16" t="str">
        <v xml:space="preserve">  Analytics &amp; Automation Specialist</v>
      </c>
      <c r="D28" s="16" t="str">
        <v>Data</v>
      </c>
      <c r="E28" s="16" t="str">
        <v>Aitana Toscano</v>
      </c>
      <c r="F28" s="16" t="str">
        <v>Professional Contractor</v>
      </c>
    </row>
    <row r="29" spans="2:6" ht="28.5" customHeight="1">
      <c r="B29" s="16" t="str">
        <v>Dulci Dos Santos</v>
      </c>
      <c r="C29" s="16" t="str">
        <v xml:space="preserve"> Team Lead</v>
      </c>
      <c r="D29" s="16" t="str">
        <v>Data</v>
      </c>
      <c r="E29" s="16" t="str">
        <v>Aitana Toscano</v>
      </c>
      <c r="F29" s="16" t="str">
        <v>Professional Contractor</v>
      </c>
    </row>
    <row r="30" spans="2:6" ht="28.5" customHeight="1">
      <c r="B30" s="16" t="str">
        <v>Gonzalo Oyarzun</v>
      </c>
      <c r="C30" s="16" t="str">
        <v>Data Analyst &amp; Reporting Specialist</v>
      </c>
      <c r="D30" s="16" t="str">
        <v>Data</v>
      </c>
      <c r="E30" s="16" t="str">
        <v>Aitana Toscano</v>
      </c>
      <c r="F30" s="16" t="str">
        <v>Professional Contractor</v>
      </c>
    </row>
    <row r="31" spans="2:6" ht="28.5" customHeight="1">
      <c r="B31" s="16" t="str">
        <v>Nefi Dorado</v>
      </c>
      <c r="C31" s="16" t="str">
        <v>Data Analyst &amp; Reporting Specialist</v>
      </c>
      <c r="D31" s="16" t="str">
        <v>Data</v>
      </c>
      <c r="E31" s="16" t="str">
        <v>Aitana Toscano</v>
      </c>
      <c r="F31" s="16" t="str">
        <v>Professional Contractor</v>
      </c>
    </row>
    <row r="32" spans="2:6" ht="28.5" customHeight="1">
      <c r="B32" s="16" t="str">
        <v>Oluwatobi Makinde</v>
      </c>
      <c r="C32" s="16" t="str">
        <v>Data Analyst &amp; Reporting Specialist</v>
      </c>
      <c r="D32" s="16" t="str">
        <v>Data</v>
      </c>
      <c r="E32" s="16" t="str">
        <v>Aitana Toscano</v>
      </c>
      <c r="F32" s="16" t="str">
        <v>Professional Contractor</v>
      </c>
    </row>
    <row r="33" spans="2:6" ht="28.5" customHeight="1">
      <c r="B33" s="16" t="str">
        <v>Goodness Okafor</v>
      </c>
      <c r="C33" s="16" t="str">
        <v>Data Pipeline Engineer</v>
      </c>
      <c r="D33" s="16" t="str">
        <v>Data</v>
      </c>
      <c r="E33" s="16" t="str">
        <v>Dulci Dos Santos</v>
      </c>
      <c r="F33" s="16" t="str">
        <v>Professional Contractor</v>
      </c>
    </row>
    <row r="34" spans="2:6" ht="28.5" customHeight="1">
      <c r="B34" s="16" t="str">
        <v>Matias Valenzuela</v>
      </c>
      <c r="C34" s="16" t="str">
        <v>ML Specialist (Predictive Models)</v>
      </c>
      <c r="D34" s="16" t="str">
        <v>Data</v>
      </c>
      <c r="E34" s="16" t="str">
        <v>Aitana Toscano</v>
      </c>
      <c r="F34" s="16" t="str">
        <v>Professional Contractor</v>
      </c>
    </row>
    <row r="35" spans="2:6" ht="28.5" customHeight="1">
      <c r="B35" s="16" t="str">
        <v>Jacob Adams</v>
      </c>
      <c r="C35" s="16" t="str">
        <v>Director of Digital Operations</v>
      </c>
      <c r="D35" s="16" t="str">
        <v>Department Leadership</v>
      </c>
      <c r="E35" s="16" t="str">
        <v>VP of Student Services</v>
      </c>
      <c r="F35" s="16" t="str">
        <v>Full-Time Employee</v>
      </c>
    </row>
    <row r="36" spans="2:6" ht="28.5" customHeight="1">
      <c r="B36" s="16" t="str">
        <v>Ricky Kailiponi Jr.</v>
      </c>
      <c r="C36" s="16" t="str">
        <v>Senior Manager of Digital Operations</v>
      </c>
      <c r="D36" s="16" t="str">
        <v>Department Leadership</v>
      </c>
      <c r="E36" s="16" t="str">
        <v>Jacob Adams</v>
      </c>
      <c r="F36" s="16" t="str">
        <v>Full-Time Employee</v>
      </c>
    </row>
    <row r="37" spans="2:6" ht="28.5" customHeight="1">
      <c r="B37" s="16" t="str">
        <v>Feyisayo Famakinde</v>
      </c>
      <c r="C37" s="16" t="str">
        <v>Azure Dev Ops Engineer</v>
      </c>
      <c r="D37" s="16" t="str">
        <v>Dev-Ops</v>
      </c>
      <c r="E37" s="16" t="str">
        <v>Ricky Kailiponi Jr.</v>
      </c>
      <c r="F37" s="16" t="str">
        <v>Professional Contractor</v>
      </c>
    </row>
    <row r="38" spans="2:6" ht="28.5" customHeight="1">
      <c r="B38" s="16" t="str">
        <v>Karina Vargas</v>
      </c>
      <c r="C38" s="16" t="str">
        <v xml:space="preserve"> Project Manager</v>
      </c>
      <c r="D38" s="16" t="str">
        <v>Project Management</v>
      </c>
      <c r="E38" s="16" t="str">
        <v>Ricky Kailiponi Jr.</v>
      </c>
      <c r="F38" s="16" t="str">
        <v>Professional Contractor</v>
      </c>
    </row>
    <row r="39" spans="2:6" ht="28.5" customHeight="1">
      <c r="B39" s="16" t="str">
        <v>David Peck</v>
      </c>
      <c r="C39" s="16" t="str">
        <v>Operational Data Analyst</v>
      </c>
      <c r="D39" s="16" t="str">
        <v>Systems &amp; Operations</v>
      </c>
      <c r="E39" s="16" t="str">
        <v>Joshua Stafford Hadden</v>
      </c>
      <c r="F39" s="16" t="str">
        <v>Full-Time Employee</v>
      </c>
    </row>
    <row r="40" spans="2:6" ht="28.5" customHeight="1">
      <c r="B40" s="16" t="str">
        <v>Pelenatita Neiufi</v>
      </c>
      <c r="C40" s="16" t="str">
        <v>Reporting &amp; Evaluation Coordinator</v>
      </c>
      <c r="D40" s="16" t="str">
        <v>Systems &amp; Operations</v>
      </c>
      <c r="E40" s="16" t="str">
        <v>Joshua Stafford Hadden</v>
      </c>
      <c r="F40" s="16" t="str">
        <v>Full-Time Employee</v>
      </c>
    </row>
    <row r="41" spans="2:6" ht="28.5" customHeight="1">
      <c r="B41" s="16" t="str">
        <v>Victor Lamôni Calado Ferreira</v>
      </c>
      <c r="C41" s="16" t="str">
        <v>System &amp; Operations Associate Registrar</v>
      </c>
      <c r="D41" s="16" t="str">
        <v>Systems &amp; Operations</v>
      </c>
      <c r="E41" s="16" t="str">
        <v>Joshua Stafford Hadden</v>
      </c>
      <c r="F41" s="16" t="str">
        <v>Full-Time Employee</v>
      </c>
    </row>
    <row r="42" spans="2:6" ht="28.5" customHeight="1">
      <c r="B42" s="16" t="str">
        <v>Aitana Nathaly Toscano Cedeño</v>
      </c>
      <c r="C42" s="16" t="str">
        <v>Data Manager</v>
      </c>
      <c r="D42" s="16" t="str">
        <v>Data</v>
      </c>
      <c r="E42" s="16" t="str">
        <v>Ricky Kailiponi Jr.</v>
      </c>
      <c r="F42" s="16" t="str">
        <v>Professional Contractor</v>
      </c>
    </row>
    <row r="43" spans="2:6" ht="28.5" customHeight="1">
      <c r="B43" s="16" t="str">
        <v>Joshua Stafford Hadden</v>
      </c>
      <c r="C43" s="16" t="str">
        <v>System &amp; Operations Manager</v>
      </c>
      <c r="D43" s="16" t="str">
        <v>Systems &amp; Operations</v>
      </c>
      <c r="E43" s="16" t="str">
        <v>Jacob Adams</v>
      </c>
      <c r="F43" s="16" t="str">
        <v>Full-Time Employee</v>
      </c>
    </row>
    <row r="44" spans="2:6" ht="28.5" customHeight="1">
      <c r="B44" s="16" t="str">
        <v>Terence Borjal</v>
      </c>
      <c r="C44" s="16" t="str">
        <v>Qualitative Researcher</v>
      </c>
      <c r="D44" s="16" t="str">
        <v>Systems &amp; Operations</v>
      </c>
      <c r="E44" s="16" t="str">
        <v>Joshua Stafford Hadden</v>
      </c>
      <c r="F44" s="16" t="str">
        <v>Professional Contractor</v>
      </c>
    </row>
    <row r="45" spans="2:6" ht="28.5" customHeight="1">
      <c r="B45" s="16" t="str">
        <v>Brandot Yarleque</v>
      </c>
      <c r="C45" s="16" t="str">
        <v xml:space="preserve">AI Engineer </v>
      </c>
      <c r="D45" s="16" t="str">
        <v>AI</v>
      </c>
      <c r="E45" s="16" t="str">
        <v>Isaias Zuñiga</v>
      </c>
      <c r="F45" s="16" t="str">
        <v>Professional Contractor</v>
      </c>
    </row>
  </sheetData>
  <sheetProtection sheet="1" objects="1" scenarios="1"/>
  <mergeCells count="2">
    <mergeCell ref="B1:F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63448-B2B5-4E67-9088-28D65F34B7DC}">
  <sheetPr>
    <tabColor rgb="FFA2C23D"/>
  </sheetPr>
  <dimension ref="A1:F24"/>
  <sheetViews>
    <sheetView topLeftCell="A14" workbookViewId="0">
      <selection activeCell="D20" sqref="D20"/>
    </sheetView>
  </sheetViews>
  <sheetFormatPr defaultRowHeight="27" customHeight="1"/>
  <cols>
    <col min="1" max="1" width="4.28515625" customWidth="1"/>
    <col min="2" max="2" width="16.42578125" bestFit="1" customWidth="1"/>
    <col min="3" max="3" width="35.5703125" bestFit="1" customWidth="1"/>
    <col min="4" max="4" width="30.5703125" customWidth="1"/>
    <col min="5" max="5" width="36" customWidth="1"/>
    <col min="6" max="6" width="21.42578125" customWidth="1"/>
  </cols>
  <sheetData>
    <row r="1" spans="1:6" ht="27" customHeight="1">
      <c r="A1" s="17"/>
      <c r="B1" s="86" t="s">
        <v>7</v>
      </c>
      <c r="C1" s="86"/>
      <c r="D1" s="86"/>
      <c r="E1" s="86"/>
      <c r="F1" s="86"/>
    </row>
    <row r="2" spans="1:6" ht="27" customHeight="1">
      <c r="A2" s="18"/>
      <c r="B2" s="87" t="s">
        <v>378</v>
      </c>
      <c r="C2" s="87"/>
      <c r="D2" s="87"/>
      <c r="E2" s="87"/>
      <c r="F2" s="87"/>
    </row>
    <row r="3" spans="1:6" ht="9" customHeight="1"/>
    <row r="4" spans="1:6" ht="27" customHeight="1">
      <c r="A4" s="20"/>
      <c r="B4" s="19" t="s">
        <v>2</v>
      </c>
      <c r="C4" s="19" t="s">
        <v>3</v>
      </c>
      <c r="D4" s="19" t="s">
        <v>377</v>
      </c>
      <c r="E4" s="19" t="s">
        <v>4</v>
      </c>
      <c r="F4" s="19" t="s">
        <v>28</v>
      </c>
    </row>
    <row r="5" spans="1:6" ht="27" customHeight="1">
      <c r="B5" s="15" t="str" cm="1">
        <f t="array" ref="B5:F24">_xlfn._xlws.FILTER(_xlfn.HSTACK( MasterDirectory[NAME], MasterDirectory[ROLE],MasterDirectory[SUB DEPT], MasterDirectory[PRIMARY STAKEHOLDER], MasterDirectory[EMPLOYMENT TYPE]), MasterDirectory[DEPARTMENT]="Dean of Students")</f>
        <v>Gisele Loisotto</v>
      </c>
      <c r="C5" t="str">
        <v>Dean of Students Office Specialist</v>
      </c>
      <c r="D5" t="str">
        <v>Accessibility Office</v>
      </c>
      <c r="E5" t="str">
        <v>Sandra Wurttele</v>
      </c>
      <c r="F5" t="str">
        <v>Professional Contractor</v>
      </c>
    </row>
    <row r="6" spans="1:6" ht="27" customHeight="1">
      <c r="B6" t="str">
        <v xml:space="preserve">Sandra Wurttele </v>
      </c>
      <c r="C6" t="str">
        <v xml:space="preserve">Accessibility Office Coordinator </v>
      </c>
      <c r="D6" t="str">
        <v>Department Leadership</v>
      </c>
      <c r="E6" t="str">
        <v>Anne Marie Clark</v>
      </c>
      <c r="F6" t="str">
        <v>Professional Contractor</v>
      </c>
    </row>
    <row r="7" spans="1:6" ht="27" customHeight="1">
      <c r="B7" t="str">
        <v>Ana de Castro</v>
      </c>
      <c r="C7" t="str">
        <v xml:space="preserve">Office of Belonging Coordinator </v>
      </c>
      <c r="D7" t="str">
        <v>Department Leadership</v>
      </c>
      <c r="E7" t="str">
        <v>Anne Marie Clark</v>
      </c>
      <c r="F7" t="str">
        <v>Professional Contractor</v>
      </c>
    </row>
    <row r="8" spans="1:6" ht="27" customHeight="1">
      <c r="B8" t="str">
        <v>Mariela Pezzali</v>
      </c>
      <c r="C8" t="str">
        <v>Project Manager</v>
      </c>
      <c r="D8" t="str">
        <v>Department Leadership</v>
      </c>
      <c r="E8" t="str">
        <v>Steven K. Thomas</v>
      </c>
      <c r="F8" t="str">
        <v>Professional Contractor</v>
      </c>
    </row>
    <row r="9" spans="1:6" ht="27" customHeight="1">
      <c r="B9" t="str">
        <v>Joseph Bentum</v>
      </c>
      <c r="C9" t="str">
        <v xml:space="preserve">Student Crisis Office Coordinator </v>
      </c>
      <c r="D9" t="str">
        <v>Department Leadership</v>
      </c>
      <c r="E9" t="str">
        <v>Anne Marie Clark</v>
      </c>
      <c r="F9" t="str">
        <v>Professional Contractor</v>
      </c>
    </row>
    <row r="10" spans="1:6" ht="27" customHeight="1">
      <c r="B10" t="str">
        <v>Ana Clara Lopes</v>
      </c>
      <c r="C10" t="str">
        <v>Dean of Students Office Specialist</v>
      </c>
      <c r="D10" t="str">
        <v>Student Crisis Office</v>
      </c>
      <c r="E10" t="str">
        <v>Joseph Bentum</v>
      </c>
      <c r="F10" t="str">
        <v>Professional Contractor</v>
      </c>
    </row>
    <row r="11" spans="1:6" ht="27" customHeight="1">
      <c r="B11" t="str">
        <v>Lawrence Genesis Onyeisi</v>
      </c>
      <c r="C11" t="str">
        <v>Dean of Students Office Specialist</v>
      </c>
      <c r="D11" t="str">
        <v xml:space="preserve">Student Honor &amp; Conduct Office </v>
      </c>
      <c r="E11" t="str">
        <v>Katelyn Ray</v>
      </c>
      <c r="F11" t="str">
        <v>Professional Contractor</v>
      </c>
    </row>
    <row r="12" spans="1:6" ht="27" customHeight="1">
      <c r="B12" t="str">
        <v>Ariana Ester Manley Mejia</v>
      </c>
      <c r="C12" t="str">
        <v>Dean of Students Office Specialist</v>
      </c>
      <c r="D12" t="str">
        <v>Accessibility Office</v>
      </c>
      <c r="E12" t="str">
        <v>Sandra Wurttele</v>
      </c>
      <c r="F12" t="str">
        <v>Professional Contractor</v>
      </c>
    </row>
    <row r="13" spans="1:6" ht="27" customHeight="1">
      <c r="B13" t="str">
        <v>Jarom Nascimento</v>
      </c>
      <c r="C13" t="str">
        <v>Dean of Students Office Specialist</v>
      </c>
      <c r="D13" t="str">
        <v>Accessibility Office</v>
      </c>
      <c r="E13" t="str">
        <v>Sandra Wurttele</v>
      </c>
      <c r="F13" t="str">
        <v>Professional Contractor</v>
      </c>
    </row>
    <row r="14" spans="1:6" ht="27" customHeight="1">
      <c r="B14" t="str">
        <v>Helen Segalla de Oliveira Rebouças</v>
      </c>
      <c r="C14" t="str">
        <v>Student Grievance Coordinator</v>
      </c>
      <c r="D14" t="str">
        <v>Department Leadership</v>
      </c>
      <c r="E14" t="str">
        <v>Anne Marie Clark</v>
      </c>
      <c r="F14" t="str">
        <v>Professional Contractor</v>
      </c>
    </row>
    <row r="15" spans="1:6" ht="27" customHeight="1">
      <c r="B15" t="str">
        <v>Anne Marie Clark</v>
      </c>
      <c r="C15" t="str">
        <v>Associate Dean of Students</v>
      </c>
      <c r="D15" t="str">
        <v>Department Leadership</v>
      </c>
      <c r="E15" t="str">
        <v>Steven K. Thomas</v>
      </c>
      <c r="F15" t="str">
        <v>Full-Time Employee</v>
      </c>
    </row>
    <row r="16" spans="1:6" ht="27" customHeight="1">
      <c r="B16" t="str">
        <v>Steven K. Thomas</v>
      </c>
      <c r="C16" t="str">
        <v>Dean of Students</v>
      </c>
      <c r="D16" t="str">
        <v>Department Leadership</v>
      </c>
      <c r="E16" t="str">
        <v>VP of Student Services</v>
      </c>
      <c r="F16" t="str">
        <v>Full-Time Employee</v>
      </c>
    </row>
    <row r="17" spans="2:6" ht="27" customHeight="1">
      <c r="B17" t="str">
        <v>Joseph Chingwara</v>
      </c>
      <c r="C17" t="str">
        <v>Dean of Students Office Specialist</v>
      </c>
      <c r="D17" t="str">
        <v>Grievance Office</v>
      </c>
      <c r="E17" t="str">
        <v>Helen Segalla de Oliveira Rebouças</v>
      </c>
      <c r="F17" t="str">
        <v>Professional Contractor</v>
      </c>
    </row>
    <row r="18" spans="2:6" ht="27" customHeight="1">
      <c r="B18" t="str">
        <v>Ifunanya Queendalyn Okeke</v>
      </c>
      <c r="C18" t="str">
        <v>Dean of Students Office Specialist</v>
      </c>
      <c r="D18" t="str">
        <v>Grievance Office</v>
      </c>
      <c r="E18" t="str">
        <v>Helen Segalla de Oliveira Rebouças</v>
      </c>
      <c r="F18" t="str">
        <v>Professional Contractor</v>
      </c>
    </row>
    <row r="19" spans="2:6" ht="27" customHeight="1">
      <c r="B19" t="str">
        <v>Wesley dos Santos</v>
      </c>
      <c r="C19" t="str">
        <v>Dean of Students Office Specialist</v>
      </c>
      <c r="D19" t="str">
        <v>Grievance Office</v>
      </c>
      <c r="E19" t="str">
        <v>Helen Segalla de Oliveira Rebouças</v>
      </c>
      <c r="F19" t="str">
        <v>Professional Contractor</v>
      </c>
    </row>
    <row r="20" spans="2:6" ht="27" customHeight="1">
      <c r="B20" t="str">
        <v>Katelyn Ray</v>
      </c>
      <c r="C20" t="str">
        <v>Student Honor &amp; Conduct Coordinator</v>
      </c>
      <c r="D20" t="str">
        <v>Service Area Coordinators</v>
      </c>
      <c r="E20" t="str">
        <v>Anne Marie Clark</v>
      </c>
      <c r="F20" t="str">
        <v>Full-Time Employee</v>
      </c>
    </row>
    <row r="21" spans="2:6" ht="27" customHeight="1">
      <c r="B21" t="str">
        <v>Scott Appiah</v>
      </c>
      <c r="C21" t="str">
        <v>Dean of Students Office Specialist</v>
      </c>
      <c r="D21" t="str">
        <v>Student Crisis Office</v>
      </c>
      <c r="E21" t="str">
        <v>Joseph Bentum</v>
      </c>
      <c r="F21" t="str">
        <v>Professional Contractor</v>
      </c>
    </row>
    <row r="22" spans="2:6" ht="27" customHeight="1">
      <c r="B22" t="str">
        <v>Tubo-Oreriba Joseph Elisha</v>
      </c>
      <c r="C22" t="str">
        <v>Dean of Students Office Specialist</v>
      </c>
      <c r="D22" t="str">
        <v>Student Crisis Office</v>
      </c>
      <c r="E22" t="str">
        <v>Joseph Bentum</v>
      </c>
      <c r="F22" t="str">
        <v>Professional Contractor</v>
      </c>
    </row>
    <row r="23" spans="2:6" ht="27" customHeight="1">
      <c r="B23" t="str">
        <v>Israel Juzgaya</v>
      </c>
      <c r="C23" t="str">
        <v>Dean of Students Office Specialist</v>
      </c>
      <c r="D23" t="str">
        <v xml:space="preserve">Student Honor &amp; Conduct Office </v>
      </c>
      <c r="E23" t="str">
        <v>Katelyn Ray</v>
      </c>
      <c r="F23" t="str">
        <v>Professional Contractor</v>
      </c>
    </row>
    <row r="24" spans="2:6" ht="27" customHeight="1">
      <c r="B24" t="str">
        <v>Rhoda Mabundu</v>
      </c>
      <c r="C24" t="str">
        <v>Dean of Students Office Specialist</v>
      </c>
      <c r="D24" t="str">
        <v xml:space="preserve">Student Honor &amp; Conduct Office </v>
      </c>
      <c r="E24" t="str">
        <v>Katelyn Ray</v>
      </c>
      <c r="F24" t="str">
        <v>Professional Contractor</v>
      </c>
    </row>
  </sheetData>
  <sheetProtection sheet="1" objects="1" scenarios="1"/>
  <mergeCells count="2">
    <mergeCell ref="B1:F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10AD9-E706-498B-8672-5A2F2D7B1874}">
  <sheetPr>
    <tabColor rgb="FFB687AC"/>
  </sheetPr>
  <dimension ref="A1:F22"/>
  <sheetViews>
    <sheetView topLeftCell="A9" workbookViewId="0">
      <selection activeCell="D10" sqref="D10"/>
    </sheetView>
  </sheetViews>
  <sheetFormatPr defaultRowHeight="25.5" customHeight="1"/>
  <cols>
    <col min="1" max="1" width="4.5703125" customWidth="1"/>
    <col min="2" max="2" width="29.28515625" customWidth="1"/>
    <col min="3" max="3" width="59.5703125" bestFit="1" customWidth="1"/>
    <col min="4" max="4" width="22.85546875" customWidth="1"/>
    <col min="5" max="5" width="23.85546875" customWidth="1"/>
    <col min="6" max="6" width="20.42578125" customWidth="1"/>
  </cols>
  <sheetData>
    <row r="1" spans="1:6" ht="25.5" customHeight="1">
      <c r="A1" s="21"/>
      <c r="B1" s="88" t="s">
        <v>48</v>
      </c>
      <c r="C1" s="88"/>
      <c r="D1" s="88"/>
      <c r="E1" s="88"/>
      <c r="F1" s="88"/>
    </row>
    <row r="2" spans="1:6" ht="25.5" customHeight="1">
      <c r="A2" s="22"/>
      <c r="B2" s="89" t="s">
        <v>379</v>
      </c>
      <c r="C2" s="89"/>
      <c r="D2" s="89"/>
      <c r="E2" s="89"/>
      <c r="F2" s="89"/>
    </row>
    <row r="3" spans="1:6" ht="9" customHeight="1"/>
    <row r="4" spans="1:6" ht="25.5" customHeight="1">
      <c r="B4" s="23" t="s">
        <v>2</v>
      </c>
      <c r="C4" s="23" t="s">
        <v>3</v>
      </c>
      <c r="D4" s="23" t="s">
        <v>377</v>
      </c>
      <c r="E4" s="23" t="s">
        <v>4</v>
      </c>
      <c r="F4" s="23" t="s">
        <v>28</v>
      </c>
    </row>
    <row r="5" spans="1:6" ht="25.5" customHeight="1">
      <c r="B5" s="15" t="str" cm="1">
        <f t="array" ref="B5:F22">_xlfn._xlws.FILTER(_xlfn.HSTACK( MasterDirectory[NAME], MasterDirectory[ROLE],MasterDirectory[SUB DEPT], MasterDirectory[PRIMARY STAKEHOLDER], MasterDirectory[EMPLOYMENT TYPE]), MasterDirectory[DEPARTMENT]="Enrollment &amp; Retention")</f>
        <v>James Etukudo</v>
      </c>
      <c r="C5" t="str">
        <v>Project Manager</v>
      </c>
      <c r="D5" t="str">
        <v>Department Leadership</v>
      </c>
      <c r="E5" t="str">
        <v>Alison Cundiff</v>
      </c>
      <c r="F5" t="str">
        <v>Professional Contractor</v>
      </c>
    </row>
    <row r="6" spans="1:6" ht="25.5" customHeight="1">
      <c r="B6" t="str">
        <v>Alison Cundiff</v>
      </c>
      <c r="C6" t="str">
        <v>Director of Enrollment &amp; Retention</v>
      </c>
      <c r="D6" t="str">
        <v>Department Leadership</v>
      </c>
      <c r="E6" t="str">
        <v>VP of Student Services</v>
      </c>
      <c r="F6" t="str">
        <v>Full-Time Employee</v>
      </c>
    </row>
    <row r="7" spans="1:6" ht="25.5" customHeight="1">
      <c r="B7" t="str">
        <v>Jose Escoto</v>
      </c>
      <c r="C7" t="str">
        <v>Senior Success Manager for Enrollment Counselling</v>
      </c>
      <c r="D7" t="str">
        <v>Enrollment Counseling</v>
      </c>
      <c r="E7" t="str">
        <v>Rachel Kirk</v>
      </c>
      <c r="F7" t="str">
        <v>Professional Contractor</v>
      </c>
    </row>
    <row r="8" spans="1:6" ht="25.5" customHeight="1">
      <c r="B8" t="str">
        <v>Rachel Kirk</v>
      </c>
      <c r="C8" t="str">
        <v>Enrollment Counseling Manager</v>
      </c>
      <c r="D8" t="str">
        <v>Enrollment Counseling</v>
      </c>
      <c r="E8" t="str">
        <v>Alison Cundiff</v>
      </c>
      <c r="F8" t="str">
        <v>Full-Time Employee</v>
      </c>
    </row>
    <row r="9" spans="1:6" ht="25.5" customHeight="1">
      <c r="B9" t="str">
        <v>Kimarie Howard</v>
      </c>
      <c r="C9" t="str">
        <v>Enrollment Counseling Development &amp; Performance Coordinator</v>
      </c>
      <c r="D9" t="str">
        <v>Enrollment Counseling</v>
      </c>
      <c r="E9" t="str">
        <v>Rachel Kirk</v>
      </c>
      <c r="F9" t="str">
        <v>Part-Time Temporary</v>
      </c>
    </row>
    <row r="10" spans="1:6" ht="25.5" customHeight="1">
      <c r="B10" t="str">
        <v>Megan Niblett</v>
      </c>
      <c r="C10" t="str">
        <v>Enrollment Counseling Operations Coordinator</v>
      </c>
      <c r="D10" t="str">
        <v>Enrollment Counseling</v>
      </c>
      <c r="E10" t="str">
        <v>Rachel Kirk</v>
      </c>
      <c r="F10" t="str">
        <v>Part-Time Temporary</v>
      </c>
    </row>
    <row r="11" spans="1:6" ht="25.5" customHeight="1">
      <c r="B11" t="str">
        <v>Shaunasee Janette James</v>
      </c>
      <c r="C11" t="str">
        <v>Enrollment Coordinator</v>
      </c>
      <c r="D11" t="str">
        <v>Enrollment Services</v>
      </c>
      <c r="E11" t="str">
        <v>Trevor Shelton</v>
      </c>
      <c r="F11" t="str">
        <v>Full-Time Employee</v>
      </c>
    </row>
    <row r="12" spans="1:6" ht="25.5" customHeight="1">
      <c r="B12" t="str">
        <v>Ely Zmolek</v>
      </c>
      <c r="C12" t="str">
        <v>Enrollment Services Specialist</v>
      </c>
      <c r="D12" t="str">
        <v>Enrollment Services</v>
      </c>
      <c r="E12" t="str">
        <v>Trevor Shelton</v>
      </c>
      <c r="F12" t="str">
        <v>Full-Time Employee</v>
      </c>
    </row>
    <row r="13" spans="1:6" ht="25.5" customHeight="1">
      <c r="B13" t="str">
        <v>Trevor Shelton</v>
      </c>
      <c r="C13" t="str">
        <v>Senior Manager of Enrollment Services</v>
      </c>
      <c r="D13" t="str">
        <v>Enrollment Services</v>
      </c>
      <c r="E13" t="str">
        <v>Alison Cundiff</v>
      </c>
      <c r="F13" t="str">
        <v>Full-Time Employee</v>
      </c>
    </row>
    <row r="14" spans="1:6" ht="25.5" customHeight="1">
      <c r="B14" t="str">
        <v>Trey Mooney</v>
      </c>
      <c r="C14" t="str">
        <v>University Chaplain</v>
      </c>
      <c r="D14" t="str">
        <v>Enrollment Services</v>
      </c>
      <c r="E14" t="str">
        <v>Alison Cundiff</v>
      </c>
      <c r="F14" t="str">
        <v>Full-Time Employee</v>
      </c>
    </row>
    <row r="15" spans="1:6" ht="25.5" customHeight="1">
      <c r="B15" t="str">
        <v>Peter Abarte</v>
      </c>
      <c r="C15" t="str">
        <v>Senior Success Manager for Mentoring</v>
      </c>
      <c r="D15" t="str">
        <v>Mentoring</v>
      </c>
      <c r="E15" t="str">
        <v>Kelley Richardson</v>
      </c>
      <c r="F15" t="str">
        <v>Professional Contractor</v>
      </c>
    </row>
    <row r="16" spans="1:6" ht="25.5" customHeight="1">
      <c r="B16" t="str">
        <v>Kelley Richardson</v>
      </c>
      <c r="C16" t="str">
        <v>Mentoring Manager</v>
      </c>
      <c r="D16" t="str">
        <v>Mentoring</v>
      </c>
      <c r="E16" t="str">
        <v>Alison Cundiff</v>
      </c>
      <c r="F16" t="str">
        <v>Full-Time Employee</v>
      </c>
    </row>
    <row r="17" spans="2:6" ht="25.5" customHeight="1">
      <c r="B17" t="str">
        <v>Mandy Schwab</v>
      </c>
      <c r="C17" t="str">
        <v>Mentor Development Specialist</v>
      </c>
      <c r="D17" t="str">
        <v>Mentoring</v>
      </c>
      <c r="E17" t="str">
        <v>Kelley Richardson</v>
      </c>
      <c r="F17" t="str">
        <v>Part-Time Temporary</v>
      </c>
    </row>
    <row r="18" spans="2:6" ht="25.5" customHeight="1">
      <c r="B18" t="str">
        <v>Gabriela Ortega</v>
      </c>
      <c r="C18" t="str">
        <v>Success Manager for Mentoring</v>
      </c>
      <c r="D18" t="str">
        <v>Mentoring</v>
      </c>
      <c r="E18" t="str">
        <v>Kelley Richardson</v>
      </c>
      <c r="F18" t="str">
        <v>Professional Contractor</v>
      </c>
    </row>
    <row r="19" spans="2:6" ht="25.5" customHeight="1">
      <c r="B19" t="str">
        <v>Carlos Alexandro Castañeda Rodriguez</v>
      </c>
      <c r="C19" t="str">
        <v>Success Manager for Mentoring</v>
      </c>
      <c r="D19" t="str">
        <v>Mentoring</v>
      </c>
      <c r="E19" t="str">
        <v>Kelley Richardson</v>
      </c>
      <c r="F19" t="str">
        <v>Professional Contractor</v>
      </c>
    </row>
    <row r="20" spans="2:6" ht="25.5" customHeight="1">
      <c r="B20" t="str">
        <v>Jenifer Cisneros Ccoyllo</v>
      </c>
      <c r="C20" t="str">
        <v>Success Manager for Mentoring</v>
      </c>
      <c r="D20" t="str">
        <v>Mentoring</v>
      </c>
      <c r="E20" t="str">
        <v>Kelley Richardson</v>
      </c>
      <c r="F20" t="str">
        <v>Professional Contractor</v>
      </c>
    </row>
    <row r="21" spans="2:6" ht="25.5" customHeight="1">
      <c r="B21" t="str">
        <v>Cynthia Trinity Nyachae</v>
      </c>
      <c r="C21" t="str">
        <v>Success Manager for Mentoring</v>
      </c>
      <c r="D21" t="str">
        <v>Mentoring</v>
      </c>
      <c r="E21" t="str">
        <v>Kelley Richardson</v>
      </c>
      <c r="F21" t="str">
        <v>Professional Contractor</v>
      </c>
    </row>
    <row r="22" spans="2:6" ht="25.5" customHeight="1">
      <c r="B22" t="str">
        <v>Johanna Relkin</v>
      </c>
      <c r="C22" t="str">
        <v>Mentor Operations Specialist</v>
      </c>
      <c r="D22" t="str">
        <v>Mentoring</v>
      </c>
      <c r="E22" t="str">
        <v>Kelley Richardson</v>
      </c>
      <c r="F22" t="str">
        <v>Part-Time Temporary</v>
      </c>
    </row>
  </sheetData>
  <sheetProtection sheet="1" objects="1" scenarios="1"/>
  <autoFilter ref="B4:F22" xr:uid="{CB010AD9-E706-498B-8672-5A2F2D7B1874}"/>
  <mergeCells count="2">
    <mergeCell ref="B1:F1"/>
    <mergeCell ref="B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6676-78D2-442B-9842-DBE6EB26FB83}">
  <sheetPr>
    <tabColor rgb="FF3A929D"/>
  </sheetPr>
  <dimension ref="A1:F29"/>
  <sheetViews>
    <sheetView topLeftCell="B28" workbookViewId="0">
      <selection activeCell="D8" sqref="D8"/>
    </sheetView>
  </sheetViews>
  <sheetFormatPr defaultRowHeight="27.75" customHeight="1"/>
  <cols>
    <col min="1" max="1" width="3.28515625" customWidth="1"/>
    <col min="2" max="2" width="31.7109375" customWidth="1"/>
    <col min="3" max="3" width="47.5703125" bestFit="1" customWidth="1"/>
    <col min="4" max="4" width="34.28515625" bestFit="1" customWidth="1"/>
    <col min="5" max="5" width="23.140625" customWidth="1"/>
    <col min="6" max="6" width="20.28515625" customWidth="1"/>
  </cols>
  <sheetData>
    <row r="1" spans="1:6" ht="27.75" customHeight="1">
      <c r="A1" s="8"/>
      <c r="B1" s="90" t="s">
        <v>60</v>
      </c>
      <c r="C1" s="90"/>
      <c r="D1" s="90"/>
      <c r="E1" s="90"/>
      <c r="F1" s="90"/>
    </row>
    <row r="2" spans="1:6" ht="27.75" customHeight="1">
      <c r="A2" s="9"/>
      <c r="B2" s="91" t="s">
        <v>380</v>
      </c>
      <c r="C2" s="91"/>
      <c r="D2" s="91"/>
      <c r="E2" s="91"/>
      <c r="F2" s="91"/>
    </row>
    <row r="3" spans="1:6" ht="7.5" customHeight="1"/>
    <row r="4" spans="1:6" ht="27.75" customHeight="1">
      <c r="B4" s="11" t="s">
        <v>2</v>
      </c>
      <c r="C4" s="11" t="s">
        <v>3</v>
      </c>
      <c r="D4" s="11" t="s">
        <v>377</v>
      </c>
      <c r="E4" s="11" t="s">
        <v>4</v>
      </c>
      <c r="F4" s="11" t="s">
        <v>28</v>
      </c>
    </row>
    <row r="5" spans="1:6" ht="27.75" customHeight="1">
      <c r="B5" s="15" t="str" cm="1">
        <f t="array" ref="B5:F29">_xlfn._xlws.FILTER(_xlfn.HSTACK( MasterDirectory[NAME], MasterDirectory[ROLE],MasterDirectory[SUB DEPT], MasterDirectory[PRIMARY STAKEHOLDER], MasterDirectory[EMPLOYMENT TYPE]), MasterDirectory[DEPARTMENT]="Records, Registration &amp; Support")</f>
        <v>Moses Abioye</v>
      </c>
      <c r="C5" t="str">
        <v>Project Manager</v>
      </c>
      <c r="D5" t="str">
        <v>Department Leadership</v>
      </c>
      <c r="E5" t="str">
        <v>Mark Gefrom</v>
      </c>
      <c r="F5" t="str">
        <v>Professional Contractor</v>
      </c>
    </row>
    <row r="6" spans="1:6" ht="27.75" customHeight="1">
      <c r="B6" t="str">
        <v>Victor Oluwapelumi Elerunndu</v>
      </c>
      <c r="C6" t="str">
        <v>Project Manager</v>
      </c>
      <c r="D6" t="str">
        <v>Department Leadership</v>
      </c>
      <c r="E6" t="str">
        <v>Mark Gefrom</v>
      </c>
      <c r="F6" t="str">
        <v>Professional Contractor</v>
      </c>
    </row>
    <row r="7" spans="1:6" ht="27.75" customHeight="1">
      <c r="B7" t="str">
        <v>Mark Gefrom</v>
      </c>
      <c r="C7" t="str">
        <v>Director of Student Records, Registration &amp; Support</v>
      </c>
      <c r="D7" t="str">
        <v>Department Leadership</v>
      </c>
      <c r="E7" t="str">
        <v>VP of Student Services</v>
      </c>
      <c r="F7" t="str">
        <v>Full-Time Employee</v>
      </c>
    </row>
    <row r="8" spans="1:6" ht="27.75" customHeight="1">
      <c r="B8" t="str">
        <v>Kim Overdiek</v>
      </c>
      <c r="C8" t="str">
        <v>Associate Registrar (Curriculum &amp; Configuration)</v>
      </c>
      <c r="D8" t="str">
        <v>Registrar's Office</v>
      </c>
      <c r="E8" t="str">
        <v>Kari Johnson</v>
      </c>
      <c r="F8" t="str">
        <v>Full-Time Employee</v>
      </c>
    </row>
    <row r="9" spans="1:6" ht="27.75" customHeight="1">
      <c r="B9" t="str">
        <v>Tyson Bell</v>
      </c>
      <c r="C9" t="str">
        <v>Associate Registrar (Transcripts &amp; Graduation)</v>
      </c>
      <c r="D9" t="str">
        <v>Registrar's Office</v>
      </c>
      <c r="E9" t="str">
        <v>Kari Johnson</v>
      </c>
      <c r="F9" t="str">
        <v>Full-Time Employee</v>
      </c>
    </row>
    <row r="10" spans="1:6" ht="27.75" customHeight="1">
      <c r="B10" t="str">
        <v>Geraldine Susan Bean</v>
      </c>
      <c r="C10" t="str">
        <v>Graduation Coordinator</v>
      </c>
      <c r="D10" t="str">
        <v>Registrar's Office</v>
      </c>
      <c r="E10" t="str">
        <v>Tyson Bell</v>
      </c>
      <c r="F10" t="str">
        <v>Full-Time Employee</v>
      </c>
    </row>
    <row r="11" spans="1:6" ht="27.75" customHeight="1">
      <c r="B11" t="str">
        <v>Cindi C Putnam</v>
      </c>
      <c r="C11" t="str">
        <v>Planning Coordinator</v>
      </c>
      <c r="D11" t="str">
        <v>Registrar's Office</v>
      </c>
      <c r="E11" t="str">
        <v>Kim Overdiek</v>
      </c>
      <c r="F11" t="str">
        <v>Full-Time Employee</v>
      </c>
    </row>
    <row r="12" spans="1:6" ht="27.75" customHeight="1">
      <c r="B12" t="str">
        <v>Anne E. Owen</v>
      </c>
      <c r="C12" t="str">
        <v>Records &amp; Transcript Coordinator</v>
      </c>
      <c r="D12" t="str">
        <v>Registrar's Office</v>
      </c>
      <c r="E12" t="str">
        <v>Tyson Bell</v>
      </c>
      <c r="F12" t="str">
        <v>Full-Time Employee</v>
      </c>
    </row>
    <row r="13" spans="1:6" ht="27.75" customHeight="1">
      <c r="B13" t="str">
        <v>Kari Johnson</v>
      </c>
      <c r="C13" t="str">
        <v>Registrar</v>
      </c>
      <c r="D13" t="str">
        <v>Registrar's Office</v>
      </c>
      <c r="E13" t="str">
        <v>Mark Gefrom</v>
      </c>
      <c r="F13" t="str">
        <v>Full-Time Employee</v>
      </c>
    </row>
    <row r="14" spans="1:6" ht="27.75" customHeight="1">
      <c r="B14" t="str">
        <v>Nikki Jane Chambers</v>
      </c>
      <c r="C14" t="str">
        <v>Enrollment Verification Specialist</v>
      </c>
      <c r="D14" t="str">
        <v>Registrar's Office</v>
      </c>
      <c r="E14" t="str">
        <v>Kim Overdiek</v>
      </c>
      <c r="F14" t="str">
        <v>Full-Time Temporary</v>
      </c>
    </row>
    <row r="15" spans="1:6" ht="27.75" customHeight="1">
      <c r="B15" t="str">
        <v>Kira Hayes</v>
      </c>
      <c r="C15" t="str">
        <v>Consistency Coordinator (QA &amp; Knowledge Base)</v>
      </c>
      <c r="D15" t="str">
        <v>Student Support</v>
      </c>
      <c r="E15" t="str">
        <v>Brad Lester</v>
      </c>
      <c r="F15" t="str">
        <v>Full-Time Employee</v>
      </c>
    </row>
    <row r="16" spans="1:6" ht="27.75" customHeight="1">
      <c r="B16" t="str">
        <v>Brad Lester</v>
      </c>
      <c r="C16" t="str">
        <v>General Support Manager</v>
      </c>
      <c r="D16" t="str">
        <v>Student Support</v>
      </c>
      <c r="E16" t="str">
        <v>Mark Gefrom</v>
      </c>
      <c r="F16" t="str">
        <v>Full-Time Employee</v>
      </c>
    </row>
    <row r="17" spans="2:6" ht="27.75" customHeight="1">
      <c r="B17" t="str">
        <v>Hilary Bagley</v>
      </c>
      <c r="C17" t="str">
        <v>Student Experience Coordinator</v>
      </c>
      <c r="D17" t="str">
        <v>Student Support</v>
      </c>
      <c r="E17" t="str">
        <v>Brad Lester</v>
      </c>
      <c r="F17" t="str">
        <v>Full-Time Employee</v>
      </c>
    </row>
    <row r="18" spans="2:6" ht="27.75" customHeight="1">
      <c r="B18" t="str">
        <v>Alyssa Burrell</v>
      </c>
      <c r="C18" t="str">
        <v>Student Support Coordinator (Phone Support)</v>
      </c>
      <c r="D18" t="str">
        <v>Student Support</v>
      </c>
      <c r="E18" t="str">
        <v>Brad Lester</v>
      </c>
      <c r="F18" t="str">
        <v>Full-Time Employee</v>
      </c>
    </row>
    <row r="19" spans="2:6" ht="27.75" customHeight="1">
      <c r="B19" t="str">
        <v>Adam Bradford</v>
      </c>
      <c r="C19" t="str">
        <v>Technical Support Engineer</v>
      </c>
      <c r="D19" t="str">
        <v>Technical Support</v>
      </c>
      <c r="E19" t="str">
        <v>Matthew Smith</v>
      </c>
      <c r="F19" t="str">
        <v>Professional Contractor</v>
      </c>
    </row>
    <row r="20" spans="2:6" ht="27.75" customHeight="1">
      <c r="B20" t="str">
        <v>Armen Wood</v>
      </c>
      <c r="C20" t="str">
        <v>Technical Support Engineer</v>
      </c>
      <c r="D20" t="str">
        <v>Technical Support</v>
      </c>
      <c r="E20" t="str">
        <v>Matthew Smith</v>
      </c>
      <c r="F20" t="str">
        <v>Professional Contractor</v>
      </c>
    </row>
    <row r="21" spans="2:6" ht="27.75" customHeight="1">
      <c r="B21" t="str">
        <v>Jackson Fonseca</v>
      </c>
      <c r="C21" t="str">
        <v>Technical Support Engineer</v>
      </c>
      <c r="D21" t="str">
        <v>Technical Support</v>
      </c>
      <c r="E21" t="str">
        <v>Matthew Smith</v>
      </c>
      <c r="F21" t="str">
        <v>Professional Contractor</v>
      </c>
    </row>
    <row r="22" spans="2:6" ht="27.75" customHeight="1">
      <c r="B22" t="str">
        <v>Miguel Figuereo</v>
      </c>
      <c r="C22" t="str">
        <v>Technical Support Engineer</v>
      </c>
      <c r="D22" t="str">
        <v>Technical Support</v>
      </c>
      <c r="E22" t="str">
        <v>Matthew Smith</v>
      </c>
      <c r="F22" t="str">
        <v>Professional Contractor</v>
      </c>
    </row>
    <row r="23" spans="2:6" ht="27.75" customHeight="1">
      <c r="B23" t="str">
        <v>Winner Aniekan Anietie</v>
      </c>
      <c r="C23" t="str">
        <v>Technical Support Engineer</v>
      </c>
      <c r="D23" t="str">
        <v>Technical Support</v>
      </c>
      <c r="E23" t="str">
        <v>Matthew Smith</v>
      </c>
      <c r="F23" t="str">
        <v>Professional Contractor</v>
      </c>
    </row>
    <row r="24" spans="2:6" ht="27.75" customHeight="1">
      <c r="B24" t="str">
        <v>Sariah De Hoyos Hernandez</v>
      </c>
      <c r="C24">
        <v>0</v>
      </c>
      <c r="D24">
        <v>0</v>
      </c>
      <c r="E24">
        <v>0</v>
      </c>
      <c r="F24" t="str">
        <v>Professional Contractor</v>
      </c>
    </row>
    <row r="25" spans="2:6" ht="27.75" customHeight="1">
      <c r="B25" t="str">
        <v>Axel Dario Abalos</v>
      </c>
      <c r="C25">
        <v>0</v>
      </c>
      <c r="D25">
        <v>0</v>
      </c>
      <c r="E25">
        <v>0</v>
      </c>
      <c r="F25" t="str">
        <v>Professional Contractor</v>
      </c>
    </row>
    <row r="26" spans="2:6" ht="27.75" customHeight="1">
      <c r="B26" t="str">
        <v>Maria Fernanda Moreno</v>
      </c>
      <c r="C26">
        <v>0</v>
      </c>
      <c r="D26">
        <v>0</v>
      </c>
      <c r="E26">
        <v>0</v>
      </c>
      <c r="F26" t="str">
        <v>Professional Contractor</v>
      </c>
    </row>
    <row r="27" spans="2:6" ht="27.75" customHeight="1">
      <c r="B27" t="str">
        <v>Ana Laura Daniela Vasquez Reynoso</v>
      </c>
      <c r="C27">
        <v>0</v>
      </c>
      <c r="D27">
        <v>0</v>
      </c>
      <c r="E27">
        <v>0</v>
      </c>
      <c r="F27" t="str">
        <v>Professional Contractor</v>
      </c>
    </row>
    <row r="28" spans="2:6" ht="27.75" customHeight="1">
      <c r="B28" t="str">
        <v>Colby Warner</v>
      </c>
      <c r="C28" t="str">
        <v>Product Support Engineer</v>
      </c>
      <c r="D28" t="str">
        <v>Technical Support</v>
      </c>
      <c r="E28" t="str">
        <v>Matthew Smith</v>
      </c>
      <c r="F28" t="str">
        <v>Full-Time Employee</v>
      </c>
    </row>
    <row r="29" spans="2:6" ht="27.75" customHeight="1">
      <c r="B29" t="str">
        <v>Matthew Smith</v>
      </c>
      <c r="C29" t="str">
        <v>Technical Support Manager</v>
      </c>
      <c r="D29" t="str">
        <v>Technical Support</v>
      </c>
      <c r="E29" t="str">
        <v>Mark Gefrom</v>
      </c>
      <c r="F29" t="str">
        <v>Full-Time Employee</v>
      </c>
    </row>
  </sheetData>
  <sheetProtection sheet="1" objects="1" scenarios="1"/>
  <mergeCells count="2">
    <mergeCell ref="B1:F1"/>
    <mergeCell ref="B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B91F-1F2C-4CDB-B617-F3A163975C9D}">
  <sheetPr>
    <tabColor rgb="FF6A9FB0"/>
  </sheetPr>
  <dimension ref="B2:M44"/>
  <sheetViews>
    <sheetView topLeftCell="A11" workbookViewId="0">
      <selection activeCell="F35" sqref="F35"/>
    </sheetView>
  </sheetViews>
  <sheetFormatPr defaultRowHeight="15"/>
  <cols>
    <col min="2" max="2" width="29.5703125" bestFit="1" customWidth="1"/>
    <col min="3" max="3" width="31.7109375" customWidth="1"/>
    <col min="8" max="8" width="28.85546875" customWidth="1"/>
  </cols>
  <sheetData>
    <row r="2" spans="2:8">
      <c r="B2" t="s">
        <v>381</v>
      </c>
      <c r="C2" t="s">
        <v>37</v>
      </c>
    </row>
    <row r="3" spans="2:8">
      <c r="B3" t="s">
        <v>60</v>
      </c>
      <c r="C3" t="s">
        <v>52</v>
      </c>
      <c r="H3" s="10" t="str" cm="1">
        <f t="array" ref="H3:H8">_xlfn._xlws.FILTER(dept[Sub-Dept], dept[ [ All Department] ]=DAshboard!G5)</f>
        <v>Department Leadership</v>
      </c>
    </row>
    <row r="4" spans="2:8">
      <c r="B4" t="s">
        <v>60</v>
      </c>
      <c r="C4" t="s">
        <v>277</v>
      </c>
      <c r="H4" t="str">
        <v>Service Area Coordinators</v>
      </c>
    </row>
    <row r="5" spans="2:8">
      <c r="B5" t="s">
        <v>60</v>
      </c>
      <c r="C5" t="s">
        <v>347</v>
      </c>
      <c r="H5" t="str">
        <v>Grievance Office</v>
      </c>
    </row>
    <row r="6" spans="2:8">
      <c r="B6" t="s">
        <v>60</v>
      </c>
      <c r="C6" t="s">
        <v>58</v>
      </c>
      <c r="H6" t="str">
        <v xml:space="preserve">Student Honor &amp; Conduct Office </v>
      </c>
    </row>
    <row r="7" spans="2:8">
      <c r="B7" t="s">
        <v>48</v>
      </c>
      <c r="C7" t="s">
        <v>52</v>
      </c>
      <c r="H7" t="str">
        <v>Student Crisis Office</v>
      </c>
    </row>
    <row r="8" spans="2:8">
      <c r="B8" t="s">
        <v>48</v>
      </c>
      <c r="C8" t="s">
        <v>256</v>
      </c>
      <c r="H8" t="str">
        <v>Accessibility Office</v>
      </c>
    </row>
    <row r="9" spans="2:8">
      <c r="B9" t="s">
        <v>48</v>
      </c>
      <c r="C9" t="s">
        <v>285</v>
      </c>
    </row>
    <row r="10" spans="2:8">
      <c r="B10" t="s">
        <v>48</v>
      </c>
      <c r="C10" t="s">
        <v>269</v>
      </c>
    </row>
    <row r="11" spans="2:8">
      <c r="B11" t="s">
        <v>48</v>
      </c>
      <c r="C11" s="53" t="s">
        <v>382</v>
      </c>
    </row>
    <row r="12" spans="2:8">
      <c r="B12" t="s">
        <v>55</v>
      </c>
      <c r="C12" t="s">
        <v>52</v>
      </c>
    </row>
    <row r="13" spans="2:8">
      <c r="B13" t="s">
        <v>55</v>
      </c>
      <c r="C13" t="s">
        <v>126</v>
      </c>
    </row>
    <row r="14" spans="2:8">
      <c r="B14" t="s">
        <v>55</v>
      </c>
      <c r="C14" t="s">
        <v>112</v>
      </c>
    </row>
    <row r="15" spans="2:8">
      <c r="B15" t="s">
        <v>55</v>
      </c>
      <c r="C15" t="s">
        <v>177</v>
      </c>
    </row>
    <row r="16" spans="2:8">
      <c r="B16" t="s">
        <v>55</v>
      </c>
      <c r="C16" t="s">
        <v>150</v>
      </c>
      <c r="H16" t="s">
        <v>9</v>
      </c>
    </row>
    <row r="17" spans="2:13">
      <c r="B17" t="s">
        <v>55</v>
      </c>
      <c r="C17" t="s">
        <v>199</v>
      </c>
    </row>
    <row r="18" spans="2:13">
      <c r="B18" t="s">
        <v>55</v>
      </c>
      <c r="C18" t="s">
        <v>225</v>
      </c>
    </row>
    <row r="19" spans="2:13">
      <c r="B19" t="s">
        <v>7</v>
      </c>
      <c r="C19" t="s">
        <v>52</v>
      </c>
    </row>
    <row r="20" spans="2:13">
      <c r="B20" t="s">
        <v>7</v>
      </c>
      <c r="C20" t="s">
        <v>112</v>
      </c>
    </row>
    <row r="21" spans="2:13">
      <c r="B21" t="s">
        <v>7</v>
      </c>
      <c r="C21" t="s">
        <v>103</v>
      </c>
    </row>
    <row r="22" spans="2:13">
      <c r="B22" t="s">
        <v>7</v>
      </c>
      <c r="C22" t="s">
        <v>84</v>
      </c>
    </row>
    <row r="23" spans="2:13">
      <c r="B23" t="s">
        <v>7</v>
      </c>
      <c r="C23" t="s">
        <v>79</v>
      </c>
    </row>
    <row r="24" spans="2:13">
      <c r="B24" t="s">
        <v>7</v>
      </c>
      <c r="C24" t="s">
        <v>42</v>
      </c>
    </row>
    <row r="25" spans="2:13">
      <c r="M25" t="str" cm="1">
        <f t="array" ref="M25:M44">_xlfn.UNIQUE(MasterDirectory[SUB DEPT])</f>
        <v>Accessibility Office</v>
      </c>
    </row>
    <row r="26" spans="2:13">
      <c r="M26" t="str">
        <v>Department Leadership</v>
      </c>
    </row>
    <row r="27" spans="2:13">
      <c r="M27" t="str">
        <v>Student Crisis Office</v>
      </c>
    </row>
    <row r="28" spans="2:13">
      <c r="M28" t="str">
        <v xml:space="preserve">Student Honor &amp; Conduct Office </v>
      </c>
    </row>
    <row r="29" spans="2:13">
      <c r="M29" t="str">
        <v>Grievance Office</v>
      </c>
    </row>
    <row r="30" spans="2:13">
      <c r="M30" t="str">
        <v>Service Area Coordinators</v>
      </c>
    </row>
    <row r="31" spans="2:13">
      <c r="M31" t="str">
        <v>AI</v>
      </c>
    </row>
    <row r="32" spans="2:13">
      <c r="M32" t="str">
        <v>Companion and  Special Projects</v>
      </c>
    </row>
    <row r="33" spans="13:13">
      <c r="M33" t="str">
        <v>D365 and  Automation</v>
      </c>
    </row>
    <row r="34" spans="13:13">
      <c r="M34" t="str">
        <v>Data</v>
      </c>
    </row>
    <row r="35" spans="13:13">
      <c r="M35" t="str">
        <v>Dev-Ops</v>
      </c>
    </row>
    <row r="36" spans="13:13">
      <c r="M36" t="str">
        <v>Project Management</v>
      </c>
    </row>
    <row r="37" spans="13:13">
      <c r="M37" t="str">
        <v>Systems &amp; Operations</v>
      </c>
    </row>
    <row r="38" spans="13:13">
      <c r="M38" t="str">
        <v>Enrollment Counseling</v>
      </c>
    </row>
    <row r="39" spans="13:13">
      <c r="M39" t="str">
        <v>Enrollment Services</v>
      </c>
    </row>
    <row r="40" spans="13:13">
      <c r="M40" t="str">
        <v>Mentoring</v>
      </c>
    </row>
    <row r="41" spans="13:13">
      <c r="M41" t="str">
        <v>Registrar's Office</v>
      </c>
    </row>
    <row r="42" spans="13:13">
      <c r="M42" t="str">
        <v>Student Support</v>
      </c>
    </row>
    <row r="43" spans="13:13">
      <c r="M43" t="str">
        <v>Technical Support</v>
      </c>
    </row>
    <row r="44" spans="13:13">
      <c r="M44">
        <v>0</v>
      </c>
    </row>
  </sheetData>
  <sheetProtection sheet="1" objects="1" scenarios="1"/>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BF1-87EB-4B4B-87FA-222402C8B250}">
  <dimension ref="A1:N47"/>
  <sheetViews>
    <sheetView workbookViewId="0">
      <pane xSplit="2" ySplit="2" topLeftCell="C36" activePane="bottomRight" state="frozen"/>
      <selection pane="bottomRight" activeCell="B3" sqref="B3"/>
      <selection pane="bottomLeft"/>
      <selection pane="topRight"/>
    </sheetView>
  </sheetViews>
  <sheetFormatPr defaultRowHeight="15" zeroHeight="1"/>
  <cols>
    <col min="1" max="1" width="18.28515625" style="55" customWidth="1"/>
    <col min="2" max="2" width="31.7109375" style="55" customWidth="1"/>
    <col min="3" max="3" width="22.5703125" style="55" customWidth="1"/>
    <col min="4" max="4" width="43.85546875" style="56" customWidth="1"/>
    <col min="5" max="5" width="51.85546875" style="56" customWidth="1"/>
    <col min="6" max="6" width="22.140625" style="56" customWidth="1"/>
    <col min="7" max="7" width="23.7109375" style="56" customWidth="1"/>
    <col min="8" max="8" width="45.7109375" style="72" customWidth="1"/>
    <col min="9" max="9" width="54.5703125" style="57" hidden="1" customWidth="1"/>
    <col min="10" max="10" width="47.140625" style="57" hidden="1" customWidth="1"/>
    <col min="11" max="11" width="9.140625" style="54"/>
    <col min="12" max="12" width="21.28515625" style="54" customWidth="1"/>
    <col min="13" max="16384" width="9.140625" style="54"/>
  </cols>
  <sheetData>
    <row r="1" spans="1:10">
      <c r="A1" s="92" t="s">
        <v>383</v>
      </c>
      <c r="B1" s="92"/>
      <c r="C1" s="92"/>
      <c r="D1" s="95" t="s">
        <v>384</v>
      </c>
      <c r="E1" s="96"/>
      <c r="F1" s="96"/>
      <c r="G1" s="96"/>
      <c r="H1" s="97"/>
      <c r="I1" s="93" t="s">
        <v>385</v>
      </c>
      <c r="J1" s="94"/>
    </row>
    <row r="2" spans="1:10">
      <c r="A2" s="59" t="s">
        <v>386</v>
      </c>
      <c r="B2" s="59" t="s">
        <v>387</v>
      </c>
      <c r="C2" s="59" t="s">
        <v>388</v>
      </c>
      <c r="D2" s="60" t="s">
        <v>389</v>
      </c>
      <c r="E2" s="60" t="s">
        <v>390</v>
      </c>
      <c r="F2" s="60" t="s">
        <v>391</v>
      </c>
      <c r="G2" s="60" t="s">
        <v>392</v>
      </c>
      <c r="H2" s="71" t="s">
        <v>393</v>
      </c>
      <c r="I2" s="61" t="s">
        <v>394</v>
      </c>
      <c r="J2" s="61" t="s">
        <v>395</v>
      </c>
    </row>
    <row r="3" spans="1:10" ht="91.5">
      <c r="A3" s="55" t="s">
        <v>305</v>
      </c>
      <c r="B3" s="55" t="s">
        <v>396</v>
      </c>
      <c r="C3" s="55" t="s">
        <v>397</v>
      </c>
      <c r="D3" s="56" t="s">
        <v>398</v>
      </c>
      <c r="E3" s="56" t="s">
        <v>399</v>
      </c>
      <c r="F3" s="56" t="s">
        <v>400</v>
      </c>
      <c r="G3" s="56" t="s">
        <v>401</v>
      </c>
      <c r="H3" s="70" t="s">
        <v>402</v>
      </c>
      <c r="I3" s="57" t="s">
        <v>403</v>
      </c>
      <c r="J3" s="57" t="s">
        <v>404</v>
      </c>
    </row>
    <row r="4" spans="1:10" ht="60.75">
      <c r="A4" s="55" t="s">
        <v>335</v>
      </c>
      <c r="B4" s="55" t="s">
        <v>405</v>
      </c>
      <c r="C4" s="55" t="s">
        <v>397</v>
      </c>
      <c r="D4" s="58" t="s">
        <v>406</v>
      </c>
      <c r="E4" s="56" t="s">
        <v>407</v>
      </c>
      <c r="F4" s="56" t="s">
        <v>408</v>
      </c>
      <c r="G4" s="56" t="s">
        <v>401</v>
      </c>
      <c r="H4" s="70" t="s">
        <v>409</v>
      </c>
      <c r="I4" s="57" t="s">
        <v>410</v>
      </c>
      <c r="J4" s="57" t="s">
        <v>411</v>
      </c>
    </row>
    <row r="5" spans="1:10" ht="60.75">
      <c r="A5" s="55" t="s">
        <v>278</v>
      </c>
      <c r="B5" s="55" t="s">
        <v>412</v>
      </c>
      <c r="C5" s="55" t="s">
        <v>397</v>
      </c>
      <c r="D5" s="56" t="s">
        <v>413</v>
      </c>
      <c r="E5" s="56" t="s">
        <v>414</v>
      </c>
      <c r="F5" s="56" t="s">
        <v>415</v>
      </c>
      <c r="G5" s="56" t="s">
        <v>401</v>
      </c>
      <c r="H5" s="70" t="s">
        <v>416</v>
      </c>
      <c r="I5" s="57" t="s">
        <v>417</v>
      </c>
    </row>
    <row r="6" spans="1:10" ht="106.5">
      <c r="A6" s="55" t="s">
        <v>339</v>
      </c>
      <c r="B6" s="55" t="s">
        <v>418</v>
      </c>
      <c r="C6" s="55" t="s">
        <v>397</v>
      </c>
      <c r="D6" s="56" t="s">
        <v>419</v>
      </c>
      <c r="E6" s="56" t="s">
        <v>420</v>
      </c>
      <c r="F6" s="56" t="s">
        <v>415</v>
      </c>
      <c r="G6" s="56" t="s">
        <v>401</v>
      </c>
      <c r="H6" s="70" t="s">
        <v>421</v>
      </c>
      <c r="I6" s="57" t="s">
        <v>422</v>
      </c>
      <c r="J6" s="57" t="s">
        <v>423</v>
      </c>
    </row>
    <row r="7" spans="1:10" ht="60.75">
      <c r="A7" s="55" t="s">
        <v>333</v>
      </c>
      <c r="B7" s="55" t="s">
        <v>424</v>
      </c>
      <c r="C7" s="55" t="s">
        <v>397</v>
      </c>
      <c r="D7" s="56" t="s">
        <v>425</v>
      </c>
      <c r="E7" s="56" t="s">
        <v>426</v>
      </c>
      <c r="F7" s="56" t="s">
        <v>427</v>
      </c>
      <c r="G7" s="56" t="s">
        <v>401</v>
      </c>
      <c r="H7" s="70" t="s">
        <v>428</v>
      </c>
      <c r="I7" s="57" t="s">
        <v>429</v>
      </c>
    </row>
    <row r="8" spans="1:10" ht="60.75">
      <c r="A8" s="55" t="s">
        <v>346</v>
      </c>
      <c r="B8" s="55" t="s">
        <v>367</v>
      </c>
      <c r="C8" s="55" t="s">
        <v>397</v>
      </c>
      <c r="D8" s="56" t="s">
        <v>430</v>
      </c>
      <c r="E8" s="56" t="s">
        <v>431</v>
      </c>
      <c r="F8" s="56" t="s">
        <v>408</v>
      </c>
      <c r="G8" s="56" t="s">
        <v>401</v>
      </c>
      <c r="H8" s="70" t="s">
        <v>432</v>
      </c>
      <c r="I8" s="57" t="s">
        <v>433</v>
      </c>
      <c r="J8" s="57" t="s">
        <v>434</v>
      </c>
    </row>
    <row r="9" spans="1:10" ht="60.75">
      <c r="A9" s="55" t="s">
        <v>365</v>
      </c>
      <c r="B9" s="55" t="s">
        <v>435</v>
      </c>
      <c r="C9" s="55" t="s">
        <v>397</v>
      </c>
      <c r="D9" s="56" t="s">
        <v>436</v>
      </c>
      <c r="E9" s="56" t="s">
        <v>437</v>
      </c>
      <c r="F9" s="56" t="s">
        <v>438</v>
      </c>
      <c r="G9" s="56" t="s">
        <v>401</v>
      </c>
      <c r="H9" s="70" t="s">
        <v>439</v>
      </c>
      <c r="I9" s="57" t="s">
        <v>440</v>
      </c>
    </row>
    <row r="10" spans="1:10" ht="60.75">
      <c r="A10" s="55" t="s">
        <v>314</v>
      </c>
      <c r="B10" s="55" t="s">
        <v>327</v>
      </c>
      <c r="C10" s="55" t="s">
        <v>397</v>
      </c>
      <c r="D10" s="56" t="s">
        <v>441</v>
      </c>
      <c r="E10" s="56" t="s">
        <v>442</v>
      </c>
      <c r="F10" s="56" t="s">
        <v>408</v>
      </c>
      <c r="G10" s="56" t="s">
        <v>401</v>
      </c>
      <c r="H10" s="70" t="s">
        <v>443</v>
      </c>
      <c r="I10" s="57" t="s">
        <v>444</v>
      </c>
      <c r="J10" s="57" t="s">
        <v>445</v>
      </c>
    </row>
    <row r="11" spans="1:10" ht="60.75">
      <c r="A11" s="55" t="s">
        <v>110</v>
      </c>
      <c r="B11" s="55" t="s">
        <v>446</v>
      </c>
      <c r="C11" s="55" t="s">
        <v>397</v>
      </c>
      <c r="D11" s="56" t="s">
        <v>447</v>
      </c>
      <c r="E11" s="56" t="s">
        <v>448</v>
      </c>
      <c r="F11" s="56" t="s">
        <v>449</v>
      </c>
      <c r="G11" s="56" t="s">
        <v>401</v>
      </c>
      <c r="H11" s="70" t="s">
        <v>450</v>
      </c>
      <c r="I11" s="57" t="s">
        <v>451</v>
      </c>
      <c r="J11" s="57" t="s">
        <v>452</v>
      </c>
    </row>
    <row r="12" spans="1:10" ht="60.75">
      <c r="A12" s="55" t="s">
        <v>321</v>
      </c>
      <c r="B12" s="55" t="s">
        <v>453</v>
      </c>
      <c r="C12" s="55" t="s">
        <v>397</v>
      </c>
      <c r="D12" s="56" t="s">
        <v>454</v>
      </c>
      <c r="E12" s="56" t="s">
        <v>455</v>
      </c>
      <c r="F12" s="56" t="s">
        <v>456</v>
      </c>
      <c r="G12" s="56" t="s">
        <v>401</v>
      </c>
      <c r="H12" s="70" t="s">
        <v>457</v>
      </c>
      <c r="I12" s="57" t="s">
        <v>458</v>
      </c>
    </row>
    <row r="13" spans="1:10" ht="60.75">
      <c r="A13" s="55" t="s">
        <v>459</v>
      </c>
      <c r="B13" s="55" t="s">
        <v>460</v>
      </c>
      <c r="C13" s="55" t="s">
        <v>461</v>
      </c>
      <c r="D13" s="56" t="s">
        <v>462</v>
      </c>
      <c r="E13" s="56" t="s">
        <v>463</v>
      </c>
      <c r="F13" s="56" t="s">
        <v>456</v>
      </c>
      <c r="G13" s="56" t="s">
        <v>401</v>
      </c>
      <c r="H13" s="70" t="s">
        <v>464</v>
      </c>
      <c r="I13" s="57" t="s">
        <v>465</v>
      </c>
    </row>
    <row r="14" spans="1:10" ht="60.75">
      <c r="A14" s="55" t="s">
        <v>77</v>
      </c>
      <c r="B14" s="55" t="s">
        <v>446</v>
      </c>
      <c r="C14" s="55" t="s">
        <v>397</v>
      </c>
      <c r="D14" s="56" t="s">
        <v>466</v>
      </c>
      <c r="E14" s="56" t="s">
        <v>467</v>
      </c>
      <c r="F14" s="56" t="s">
        <v>449</v>
      </c>
      <c r="G14" s="56" t="s">
        <v>401</v>
      </c>
      <c r="H14" s="70" t="s">
        <v>468</v>
      </c>
      <c r="I14" s="57" t="s">
        <v>469</v>
      </c>
      <c r="J14" s="57" t="s">
        <v>470</v>
      </c>
    </row>
    <row r="15" spans="1:10" ht="60.75">
      <c r="A15" s="55" t="s">
        <v>318</v>
      </c>
      <c r="B15" s="55" t="s">
        <v>319</v>
      </c>
      <c r="C15" s="55" t="s">
        <v>397</v>
      </c>
      <c r="D15" s="56" t="s">
        <v>471</v>
      </c>
      <c r="E15" s="56" t="s">
        <v>472</v>
      </c>
      <c r="F15" s="56" t="s">
        <v>473</v>
      </c>
      <c r="G15" s="56" t="s">
        <v>401</v>
      </c>
      <c r="H15" s="70" t="s">
        <v>474</v>
      </c>
      <c r="I15" s="57" t="s">
        <v>475</v>
      </c>
    </row>
    <row r="16" spans="1:10" ht="60.75">
      <c r="A16" s="55" t="s">
        <v>324</v>
      </c>
      <c r="B16" s="55" t="s">
        <v>476</v>
      </c>
      <c r="C16" s="55" t="s">
        <v>397</v>
      </c>
      <c r="D16" s="56" t="s">
        <v>477</v>
      </c>
      <c r="E16" s="56" t="s">
        <v>478</v>
      </c>
      <c r="F16" s="56" t="s">
        <v>473</v>
      </c>
      <c r="G16" s="56" t="s">
        <v>401</v>
      </c>
      <c r="H16" s="70" t="s">
        <v>479</v>
      </c>
      <c r="I16" s="57" t="s">
        <v>480</v>
      </c>
    </row>
    <row r="17" spans="1:10" ht="60.75">
      <c r="A17" s="55" t="s">
        <v>329</v>
      </c>
      <c r="B17" s="55" t="s">
        <v>481</v>
      </c>
      <c r="C17" s="55" t="s">
        <v>461</v>
      </c>
      <c r="D17" s="56" t="s">
        <v>482</v>
      </c>
      <c r="E17" s="56" t="s">
        <v>483</v>
      </c>
      <c r="F17" s="56" t="s">
        <v>473</v>
      </c>
      <c r="G17" s="56" t="s">
        <v>401</v>
      </c>
      <c r="H17" s="70" t="s">
        <v>484</v>
      </c>
      <c r="I17" s="57" t="s">
        <v>485</v>
      </c>
    </row>
    <row r="18" spans="1:10" ht="91.5">
      <c r="A18" s="55" t="s">
        <v>68</v>
      </c>
      <c r="B18" s="55" t="s">
        <v>7</v>
      </c>
      <c r="C18" s="55" t="s">
        <v>397</v>
      </c>
      <c r="D18" s="56" t="s">
        <v>486</v>
      </c>
      <c r="E18" s="56" t="s">
        <v>487</v>
      </c>
      <c r="F18" s="56" t="s">
        <v>400</v>
      </c>
      <c r="G18" s="56" t="s">
        <v>488</v>
      </c>
      <c r="H18" s="70" t="s">
        <v>489</v>
      </c>
      <c r="I18" s="57" t="s">
        <v>490</v>
      </c>
      <c r="J18" s="57" t="s">
        <v>491</v>
      </c>
    </row>
    <row r="19" spans="1:10" ht="91.5">
      <c r="A19" s="55" t="s">
        <v>51</v>
      </c>
      <c r="B19" s="55" t="s">
        <v>97</v>
      </c>
      <c r="C19" s="55" t="s">
        <v>397</v>
      </c>
      <c r="D19" s="56" t="s">
        <v>492</v>
      </c>
      <c r="E19" s="56" t="s">
        <v>493</v>
      </c>
      <c r="F19" s="56" t="s">
        <v>494</v>
      </c>
      <c r="G19" s="56" t="s">
        <v>488</v>
      </c>
      <c r="H19" s="70" t="s">
        <v>495</v>
      </c>
      <c r="I19" s="57" t="s">
        <v>496</v>
      </c>
      <c r="J19" s="57" t="s">
        <v>497</v>
      </c>
    </row>
    <row r="20" spans="1:10" ht="60.75">
      <c r="A20" s="55" t="s">
        <v>83</v>
      </c>
      <c r="B20" s="55" t="s">
        <v>111</v>
      </c>
      <c r="C20" s="55" t="s">
        <v>397</v>
      </c>
      <c r="D20" s="56" t="s">
        <v>498</v>
      </c>
      <c r="E20" s="56" t="s">
        <v>499</v>
      </c>
      <c r="F20" s="56" t="s">
        <v>500</v>
      </c>
      <c r="G20" s="56" t="s">
        <v>488</v>
      </c>
      <c r="H20" s="70" t="s">
        <v>501</v>
      </c>
      <c r="I20" s="57" t="s">
        <v>502</v>
      </c>
    </row>
    <row r="21" spans="1:10" ht="60.75">
      <c r="A21" s="55" t="s">
        <v>41</v>
      </c>
      <c r="B21" s="55" t="s">
        <v>503</v>
      </c>
      <c r="C21" s="55" t="s">
        <v>504</v>
      </c>
      <c r="D21" s="56" t="s">
        <v>505</v>
      </c>
      <c r="E21" s="56" t="s">
        <v>506</v>
      </c>
      <c r="F21" s="56" t="s">
        <v>500</v>
      </c>
      <c r="G21" s="56" t="s">
        <v>488</v>
      </c>
      <c r="H21" s="70" t="s">
        <v>507</v>
      </c>
      <c r="I21" s="57" t="s">
        <v>508</v>
      </c>
    </row>
    <row r="22" spans="1:10" ht="60.75">
      <c r="A22" s="55" t="s">
        <v>509</v>
      </c>
      <c r="B22" s="55" t="s">
        <v>510</v>
      </c>
      <c r="C22" s="55" t="s">
        <v>504</v>
      </c>
      <c r="D22" s="56" t="s">
        <v>511</v>
      </c>
      <c r="E22" s="56" t="s">
        <v>512</v>
      </c>
      <c r="F22" s="56" t="s">
        <v>500</v>
      </c>
      <c r="G22" s="56" t="s">
        <v>488</v>
      </c>
      <c r="H22" s="70" t="s">
        <v>513</v>
      </c>
      <c r="I22" s="57" t="s">
        <v>514</v>
      </c>
    </row>
    <row r="23" spans="1:10" ht="60.75">
      <c r="A23" s="55" t="s">
        <v>515</v>
      </c>
      <c r="B23" s="55" t="s">
        <v>94</v>
      </c>
      <c r="C23" s="55" t="s">
        <v>504</v>
      </c>
      <c r="D23" s="56" t="s">
        <v>516</v>
      </c>
      <c r="E23" s="56" t="s">
        <v>517</v>
      </c>
      <c r="F23" s="56" t="s">
        <v>500</v>
      </c>
      <c r="G23" s="56" t="s">
        <v>488</v>
      </c>
      <c r="H23" s="70" t="s">
        <v>518</v>
      </c>
      <c r="I23" s="57" t="s">
        <v>519</v>
      </c>
    </row>
    <row r="24" spans="1:10" ht="60.75">
      <c r="A24" s="55" t="s">
        <v>72</v>
      </c>
      <c r="B24" s="55" t="s">
        <v>520</v>
      </c>
      <c r="C24" s="55" t="s">
        <v>504</v>
      </c>
      <c r="D24" s="56" t="s">
        <v>521</v>
      </c>
      <c r="E24" s="56" t="s">
        <v>522</v>
      </c>
      <c r="F24" s="56" t="s">
        <v>500</v>
      </c>
      <c r="G24" s="56" t="s">
        <v>488</v>
      </c>
      <c r="H24" s="70" t="s">
        <v>523</v>
      </c>
      <c r="I24" s="57" t="s">
        <v>524</v>
      </c>
    </row>
    <row r="25" spans="1:10" ht="60.75">
      <c r="A25" s="55" t="s">
        <v>249</v>
      </c>
      <c r="B25" s="55" t="s">
        <v>251</v>
      </c>
      <c r="C25" s="55" t="s">
        <v>397</v>
      </c>
      <c r="D25" s="56" t="s">
        <v>525</v>
      </c>
      <c r="E25" s="56" t="s">
        <v>526</v>
      </c>
      <c r="F25" s="56" t="s">
        <v>400</v>
      </c>
      <c r="G25" s="56" t="s">
        <v>48</v>
      </c>
      <c r="H25" s="70" t="s">
        <v>527</v>
      </c>
      <c r="I25" s="57" t="s">
        <v>528</v>
      </c>
      <c r="J25" s="57" t="s">
        <v>529</v>
      </c>
    </row>
    <row r="26" spans="1:10" ht="76.5">
      <c r="A26" s="55" t="s">
        <v>284</v>
      </c>
      <c r="B26" s="55" t="s">
        <v>287</v>
      </c>
      <c r="C26" s="55" t="s">
        <v>397</v>
      </c>
      <c r="D26" s="56" t="s">
        <v>530</v>
      </c>
      <c r="E26" s="56" t="s">
        <v>531</v>
      </c>
      <c r="F26" s="56" t="s">
        <v>532</v>
      </c>
      <c r="G26" s="56" t="s">
        <v>48</v>
      </c>
      <c r="H26" s="70" t="s">
        <v>533</v>
      </c>
      <c r="I26" s="57" t="s">
        <v>534</v>
      </c>
      <c r="J26" s="57" t="s">
        <v>535</v>
      </c>
    </row>
    <row r="27" spans="1:10" ht="60.75">
      <c r="A27" s="55" t="s">
        <v>289</v>
      </c>
      <c r="B27" s="55" t="s">
        <v>290</v>
      </c>
      <c r="C27" s="55" t="s">
        <v>536</v>
      </c>
      <c r="D27" s="56" t="s">
        <v>537</v>
      </c>
      <c r="E27" s="56" t="s">
        <v>538</v>
      </c>
      <c r="F27" s="56" t="s">
        <v>539</v>
      </c>
      <c r="G27" s="56" t="s">
        <v>48</v>
      </c>
      <c r="H27" s="70" t="s">
        <v>540</v>
      </c>
      <c r="I27" s="57" t="s">
        <v>541</v>
      </c>
    </row>
    <row r="28" spans="1:10" ht="60.75">
      <c r="A28" s="55" t="s">
        <v>542</v>
      </c>
      <c r="B28" s="55" t="s">
        <v>302</v>
      </c>
      <c r="C28" s="55" t="s">
        <v>536</v>
      </c>
      <c r="D28" s="56" t="s">
        <v>543</v>
      </c>
      <c r="E28" s="56" t="s">
        <v>544</v>
      </c>
      <c r="F28" s="56" t="s">
        <v>539</v>
      </c>
      <c r="G28" s="56" t="s">
        <v>48</v>
      </c>
      <c r="H28" s="70" t="s">
        <v>545</v>
      </c>
      <c r="I28" s="57" t="s">
        <v>546</v>
      </c>
    </row>
    <row r="29" spans="1:10" ht="60.75">
      <c r="A29" s="55" t="s">
        <v>268</v>
      </c>
      <c r="B29" s="55" t="s">
        <v>274</v>
      </c>
      <c r="C29" s="55" t="s">
        <v>397</v>
      </c>
      <c r="D29" s="56" t="s">
        <v>547</v>
      </c>
      <c r="E29" s="56" t="s">
        <v>548</v>
      </c>
      <c r="F29" s="56" t="s">
        <v>532</v>
      </c>
      <c r="G29" s="56" t="s">
        <v>48</v>
      </c>
      <c r="H29" s="70" t="s">
        <v>549</v>
      </c>
      <c r="I29" s="57" t="s">
        <v>550</v>
      </c>
      <c r="J29" s="57" t="s">
        <v>551</v>
      </c>
    </row>
    <row r="30" spans="1:10" ht="60.75">
      <c r="A30" s="55" t="s">
        <v>255</v>
      </c>
      <c r="B30" s="55" t="s">
        <v>258</v>
      </c>
      <c r="C30" s="55" t="s">
        <v>397</v>
      </c>
      <c r="D30" s="56" t="s">
        <v>552</v>
      </c>
      <c r="E30" s="56" t="s">
        <v>553</v>
      </c>
      <c r="F30" s="56" t="s">
        <v>554</v>
      </c>
      <c r="G30" s="56" t="s">
        <v>48</v>
      </c>
      <c r="H30" s="70" t="s">
        <v>555</v>
      </c>
      <c r="I30" s="57" t="s">
        <v>556</v>
      </c>
      <c r="J30" s="57" t="s">
        <v>557</v>
      </c>
    </row>
    <row r="31" spans="1:10" ht="60.75">
      <c r="A31" s="55" t="s">
        <v>260</v>
      </c>
      <c r="B31" s="55" t="s">
        <v>558</v>
      </c>
      <c r="C31" s="55" t="s">
        <v>504</v>
      </c>
      <c r="D31" s="56" t="s">
        <v>559</v>
      </c>
      <c r="E31" s="56" t="s">
        <v>560</v>
      </c>
      <c r="F31" s="56" t="s">
        <v>561</v>
      </c>
      <c r="G31" s="56" t="s">
        <v>48</v>
      </c>
      <c r="H31" s="70" t="s">
        <v>562</v>
      </c>
      <c r="I31" s="57" t="s">
        <v>563</v>
      </c>
    </row>
    <row r="32" spans="1:10" ht="60.75">
      <c r="A32" s="55" t="s">
        <v>564</v>
      </c>
      <c r="B32" s="55" t="s">
        <v>264</v>
      </c>
      <c r="C32" s="55" t="s">
        <v>504</v>
      </c>
      <c r="D32" s="56" t="s">
        <v>565</v>
      </c>
      <c r="E32" s="56" t="s">
        <v>566</v>
      </c>
      <c r="F32" s="56" t="s">
        <v>561</v>
      </c>
      <c r="G32" s="56" t="s">
        <v>48</v>
      </c>
      <c r="H32" s="70" t="s">
        <v>567</v>
      </c>
      <c r="I32" s="57" t="s">
        <v>568</v>
      </c>
    </row>
    <row r="33" spans="1:14" ht="60.75">
      <c r="A33" s="55" t="s">
        <v>266</v>
      </c>
      <c r="B33" s="55" t="s">
        <v>569</v>
      </c>
      <c r="C33" s="55" t="s">
        <v>397</v>
      </c>
      <c r="D33" s="56" t="s">
        <v>570</v>
      </c>
      <c r="E33" s="56" t="s">
        <v>571</v>
      </c>
      <c r="F33" s="56" t="s">
        <v>554</v>
      </c>
      <c r="G33" s="56" t="s">
        <v>48</v>
      </c>
      <c r="H33" s="70" t="s">
        <v>572</v>
      </c>
      <c r="I33" s="57" t="s">
        <v>573</v>
      </c>
    </row>
    <row r="34" spans="1:14" ht="60.75">
      <c r="A34" s="55" t="s">
        <v>271</v>
      </c>
      <c r="B34" s="55" t="s">
        <v>574</v>
      </c>
      <c r="C34" s="55" t="s">
        <v>397</v>
      </c>
      <c r="D34" s="56" t="s">
        <v>575</v>
      </c>
      <c r="E34" s="56" t="s">
        <v>576</v>
      </c>
      <c r="F34" s="56" t="s">
        <v>554</v>
      </c>
      <c r="G34" s="56" t="s">
        <v>48</v>
      </c>
      <c r="H34" s="70" t="s">
        <v>577</v>
      </c>
      <c r="I34" s="57" t="s">
        <v>578</v>
      </c>
    </row>
    <row r="35" spans="1:14" ht="60.75">
      <c r="A35" s="55" t="s">
        <v>279</v>
      </c>
      <c r="B35" s="55" t="s">
        <v>280</v>
      </c>
      <c r="C35" s="55" t="s">
        <v>397</v>
      </c>
      <c r="D35" s="56" t="s">
        <v>579</v>
      </c>
      <c r="E35" s="56" t="s">
        <v>580</v>
      </c>
      <c r="F35" s="56" t="s">
        <v>554</v>
      </c>
      <c r="G35" s="56" t="s">
        <v>48</v>
      </c>
      <c r="H35" s="70" t="s">
        <v>581</v>
      </c>
      <c r="I35" s="57" t="s">
        <v>582</v>
      </c>
    </row>
    <row r="36" spans="1:14" ht="137.25">
      <c r="A36" s="55" t="s">
        <v>218</v>
      </c>
      <c r="B36" s="55" t="s">
        <v>583</v>
      </c>
      <c r="C36" s="55" t="s">
        <v>397</v>
      </c>
      <c r="D36" s="56" t="s">
        <v>584</v>
      </c>
      <c r="E36" s="56" t="s">
        <v>585</v>
      </c>
      <c r="F36" s="56" t="s">
        <v>400</v>
      </c>
      <c r="G36" s="56" t="s">
        <v>586</v>
      </c>
      <c r="H36" s="70" t="s">
        <v>587</v>
      </c>
      <c r="I36" s="57" t="s">
        <v>588</v>
      </c>
      <c r="J36" s="57" t="s">
        <v>589</v>
      </c>
    </row>
    <row r="37" spans="1:14" ht="76.5">
      <c r="A37" s="55" t="s">
        <v>125</v>
      </c>
      <c r="B37" s="55" t="s">
        <v>590</v>
      </c>
      <c r="C37" s="55" t="s">
        <v>591</v>
      </c>
      <c r="D37" s="56" t="s">
        <v>592</v>
      </c>
      <c r="E37" s="56" t="s">
        <v>593</v>
      </c>
      <c r="F37" s="56" t="s">
        <v>594</v>
      </c>
      <c r="G37" s="56" t="s">
        <v>586</v>
      </c>
      <c r="H37" s="70" t="s">
        <v>595</v>
      </c>
      <c r="I37" s="57" t="s">
        <v>596</v>
      </c>
      <c r="J37" s="57" t="s">
        <v>597</v>
      </c>
    </row>
    <row r="38" spans="1:14" ht="76.5">
      <c r="A38" s="55" t="s">
        <v>233</v>
      </c>
      <c r="B38" s="55" t="s">
        <v>598</v>
      </c>
      <c r="C38" s="55" t="s">
        <v>591</v>
      </c>
      <c r="D38" s="56" t="s">
        <v>599</v>
      </c>
      <c r="E38" s="56" t="s">
        <v>600</v>
      </c>
      <c r="F38" s="56" t="s">
        <v>594</v>
      </c>
      <c r="G38" s="56" t="s">
        <v>586</v>
      </c>
      <c r="H38" s="70" t="s">
        <v>601</v>
      </c>
      <c r="I38" s="57" t="s">
        <v>602</v>
      </c>
      <c r="J38" s="57" t="s">
        <v>603</v>
      </c>
    </row>
    <row r="39" spans="1:14" ht="60.75">
      <c r="A39" s="55" t="s">
        <v>231</v>
      </c>
      <c r="B39" s="55" t="s">
        <v>232</v>
      </c>
      <c r="C39" s="55" t="s">
        <v>591</v>
      </c>
      <c r="D39" s="56" t="s">
        <v>604</v>
      </c>
      <c r="E39" s="56" t="s">
        <v>605</v>
      </c>
      <c r="F39" s="56" t="s">
        <v>606</v>
      </c>
      <c r="G39" s="56" t="s">
        <v>586</v>
      </c>
      <c r="H39" s="70" t="s">
        <v>607</v>
      </c>
      <c r="I39" s="57" t="s">
        <v>608</v>
      </c>
    </row>
    <row r="40" spans="1:14" ht="60.75">
      <c r="A40" s="55" t="s">
        <v>236</v>
      </c>
      <c r="B40" s="55" t="s">
        <v>609</v>
      </c>
      <c r="C40" s="55" t="s">
        <v>591</v>
      </c>
      <c r="D40" s="56" t="s">
        <v>610</v>
      </c>
      <c r="E40" s="56" t="s">
        <v>605</v>
      </c>
      <c r="F40" s="56" t="s">
        <v>606</v>
      </c>
      <c r="G40" s="56" t="s">
        <v>586</v>
      </c>
      <c r="H40" s="70" t="s">
        <v>611</v>
      </c>
      <c r="I40" s="57" t="s">
        <v>612</v>
      </c>
    </row>
    <row r="41" spans="1:14" ht="60.75">
      <c r="A41" s="55" t="s">
        <v>239</v>
      </c>
      <c r="B41" s="55" t="s">
        <v>240</v>
      </c>
      <c r="C41" s="55" t="s">
        <v>591</v>
      </c>
      <c r="D41" s="56" t="s">
        <v>613</v>
      </c>
      <c r="E41" s="56" t="s">
        <v>605</v>
      </c>
      <c r="F41" s="56" t="s">
        <v>606</v>
      </c>
      <c r="G41" s="56" t="s">
        <v>586</v>
      </c>
      <c r="H41" s="70" t="s">
        <v>614</v>
      </c>
      <c r="I41" s="57" t="s">
        <v>615</v>
      </c>
    </row>
    <row r="42" spans="1:14" ht="60.75">
      <c r="A42" s="55" t="s">
        <v>176</v>
      </c>
      <c r="B42" s="55" t="s">
        <v>616</v>
      </c>
      <c r="C42" s="55" t="s">
        <v>617</v>
      </c>
      <c r="D42" s="56" t="s">
        <v>618</v>
      </c>
      <c r="E42" s="56" t="s">
        <v>619</v>
      </c>
      <c r="F42" s="56" t="s">
        <v>620</v>
      </c>
      <c r="G42" s="56" t="s">
        <v>586</v>
      </c>
      <c r="H42" s="70" t="s">
        <v>621</v>
      </c>
      <c r="I42" s="57" t="s">
        <v>622</v>
      </c>
      <c r="N42" s="54">
        <f>113*32</f>
        <v>3616</v>
      </c>
    </row>
    <row r="43" spans="1:14" ht="60.75">
      <c r="A43" s="55" t="s">
        <v>148</v>
      </c>
      <c r="B43" s="55" t="s">
        <v>623</v>
      </c>
      <c r="C43" s="55" t="s">
        <v>617</v>
      </c>
      <c r="D43" s="56" t="s">
        <v>624</v>
      </c>
      <c r="E43" s="56" t="s">
        <v>619</v>
      </c>
      <c r="F43" s="56" t="s">
        <v>620</v>
      </c>
      <c r="G43" s="56" t="s">
        <v>586</v>
      </c>
      <c r="H43" s="70" t="s">
        <v>625</v>
      </c>
      <c r="I43" s="57" t="s">
        <v>626</v>
      </c>
    </row>
    <row r="44" spans="1:14" ht="60.75">
      <c r="A44" s="55" t="s">
        <v>627</v>
      </c>
      <c r="B44" s="55" t="s">
        <v>244</v>
      </c>
      <c r="C44" s="55" t="s">
        <v>617</v>
      </c>
      <c r="D44" s="56" t="s">
        <v>628</v>
      </c>
      <c r="E44" s="56" t="s">
        <v>619</v>
      </c>
      <c r="F44" s="56" t="s">
        <v>620</v>
      </c>
      <c r="G44" s="56" t="s">
        <v>586</v>
      </c>
      <c r="H44" s="70" t="s">
        <v>629</v>
      </c>
      <c r="I44" s="57" t="s">
        <v>630</v>
      </c>
    </row>
    <row r="45" spans="1:14" ht="60.75">
      <c r="A45" s="55" t="s">
        <v>123</v>
      </c>
      <c r="B45" s="55" t="s">
        <v>631</v>
      </c>
      <c r="C45" s="55" t="s">
        <v>617</v>
      </c>
      <c r="D45" s="56" t="s">
        <v>632</v>
      </c>
      <c r="F45" s="56" t="s">
        <v>620</v>
      </c>
      <c r="G45" s="56" t="s">
        <v>586</v>
      </c>
      <c r="H45" s="70" t="s">
        <v>633</v>
      </c>
      <c r="I45" s="57" t="s">
        <v>634</v>
      </c>
    </row>
    <row r="46" spans="1:14" hidden="1">
      <c r="H46" s="56"/>
    </row>
    <row r="47" spans="1:14" hidden="1">
      <c r="H47" s="56"/>
    </row>
  </sheetData>
  <mergeCells count="3">
    <mergeCell ref="A1:C1"/>
    <mergeCell ref="I1:J1"/>
    <mergeCell ref="D1:H1"/>
  </mergeCells>
  <hyperlinks>
    <hyperlink ref="H3" r:id="rId1" xr:uid="{03423B14-C692-4575-A23E-BBA3AEEB4A68}"/>
    <hyperlink ref="H45" r:id="rId2" xr:uid="{4A794717-739D-486A-A3F0-480A85D258EE}"/>
    <hyperlink ref="H44" r:id="rId3" xr:uid="{9A1DBC23-DF3A-47FB-BE2B-70D329F03343}"/>
    <hyperlink ref="H43" r:id="rId4" xr:uid="{9100CF32-6E83-4A9A-AC4E-D9562F64AEF1}"/>
    <hyperlink ref="H42" r:id="rId5" xr:uid="{17D6F758-DCC0-4442-B7C3-91E8E957E834}"/>
    <hyperlink ref="H41" r:id="rId6" xr:uid="{FB4242E0-485D-44B5-85B5-A8AB23FA3357}"/>
    <hyperlink ref="H40" r:id="rId7" xr:uid="{00509D64-96CB-460D-B46C-AB75407D0928}"/>
    <hyperlink ref="H39" r:id="rId8" xr:uid="{59AE0F46-4999-4CDA-93D8-0363F42C8B1D}"/>
    <hyperlink ref="H38" r:id="rId9" xr:uid="{07CDD476-2673-4040-B8DA-5EE4131E1F95}"/>
    <hyperlink ref="H37" r:id="rId10" xr:uid="{2D2EF85C-D93F-4A30-AE79-56DAD694B999}"/>
    <hyperlink ref="H36" r:id="rId11" xr:uid="{7FCDF005-E8B9-41F3-84F6-A7B05E536270}"/>
    <hyperlink ref="H35" r:id="rId12" xr:uid="{17D238E0-FA4F-4E66-A418-EE6BFFA5305D}"/>
    <hyperlink ref="H34" r:id="rId13" xr:uid="{9D622318-6870-4F44-833F-4AFDE2E5D42D}"/>
    <hyperlink ref="H33" r:id="rId14" xr:uid="{B587009A-0DBC-46FF-8037-8E75E2A4EEFE}"/>
    <hyperlink ref="H32" r:id="rId15" xr:uid="{C10ED4B9-EDCD-48B2-B2DD-8C4812D8B1E2}"/>
    <hyperlink ref="H31" r:id="rId16" xr:uid="{B7E95415-9C6C-4FAC-A939-79E291350253}"/>
    <hyperlink ref="H30" r:id="rId17" xr:uid="{3BD4CA7B-D9F7-401F-AF8E-CE6387C7FDB9}"/>
    <hyperlink ref="H29" r:id="rId18" xr:uid="{F5D808F1-2AF7-4FA3-B84D-01B91354268D}"/>
    <hyperlink ref="H27" r:id="rId19" xr:uid="{02ECB7EC-BA2F-49E1-BD13-B542DB2F94EA}"/>
    <hyperlink ref="H28" r:id="rId20" xr:uid="{BC3B2D1B-3068-42DC-8759-0D6FE87CEB2E}"/>
    <hyperlink ref="H26" r:id="rId21" xr:uid="{36B2D26F-E97D-407F-B4DA-F01BAA78D5B3}"/>
    <hyperlink ref="H25" r:id="rId22" xr:uid="{B80B8D05-1620-4E61-92AF-5FEDCFA6A685}"/>
    <hyperlink ref="H18" r:id="rId23" xr:uid="{7A8F7379-867F-4A35-9625-3D9CE586AA4D}"/>
    <hyperlink ref="H19" r:id="rId24" xr:uid="{C25A4F48-3A3B-41F0-AE1E-62060F3434D0}"/>
    <hyperlink ref="H20" r:id="rId25" xr:uid="{E9F3396A-5346-47A2-A22A-242F61497A80}"/>
    <hyperlink ref="H21" r:id="rId26" xr:uid="{F5491259-4D4C-47F9-8643-4E4054FC8AA3}"/>
    <hyperlink ref="H22" r:id="rId27" xr:uid="{3A109E4C-244A-4F60-96B0-81FD6729B77F}"/>
    <hyperlink ref="H23" r:id="rId28" xr:uid="{5EFCDE7B-CDD1-4057-82DB-B41993523446}"/>
    <hyperlink ref="H24" r:id="rId29" xr:uid="{B1428933-C3E8-4706-B932-6EE752DCA8A6}"/>
    <hyperlink ref="H4" r:id="rId30" xr:uid="{DBE95ECE-CB85-436A-9DB7-6FAB0576D759}"/>
    <hyperlink ref="H5" r:id="rId31" xr:uid="{B8205EAE-1C0E-4842-9B3D-1256FF102B51}"/>
    <hyperlink ref="H7" r:id="rId32" xr:uid="{1D0C557D-DF38-4B1C-BC3A-F69D4B20C062}"/>
    <hyperlink ref="H6" r:id="rId33" xr:uid="{6DF5A6F6-5E62-424E-BC9B-62E6DC17B355}"/>
    <hyperlink ref="H8" r:id="rId34" xr:uid="{F3EBA8F7-D5A4-4DF0-9A58-7CE58C4C52B3}"/>
    <hyperlink ref="H9" r:id="rId35" xr:uid="{7D1D12F8-4250-4801-AE7B-B62657349670}"/>
    <hyperlink ref="H10" r:id="rId36" xr:uid="{F024A0C7-4ECC-4F08-935C-E38E93DF0A0C}"/>
    <hyperlink ref="H11" r:id="rId37" xr:uid="{1EBCA380-A34B-443B-A38B-437F8FCE49FA}"/>
    <hyperlink ref="H12" r:id="rId38" xr:uid="{9481E9F8-4AD9-4BAE-94C9-D8BD1767886B}"/>
    <hyperlink ref="H13" r:id="rId39" xr:uid="{27848AC3-FBA0-4F58-B959-2E844D4540CF}"/>
    <hyperlink ref="H14" r:id="rId40" xr:uid="{D4533BC5-D50E-4B0F-8CD9-1AA8D8BD692B}"/>
    <hyperlink ref="H15" r:id="rId41" xr:uid="{21F69678-B8CC-44FD-B6BB-E3A7618161C4}"/>
    <hyperlink ref="H16" r:id="rId42" xr:uid="{9861C088-50E4-4774-8398-F27DF3081F9B}"/>
    <hyperlink ref="H17" r:id="rId43" xr:uid="{1523BC35-0DC7-4F86-87F2-7CB19DEF81B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E9E2A69C8C34479337E79D1ABCFE4C" ma:contentTypeVersion="3" ma:contentTypeDescription="Create a new document." ma:contentTypeScope="" ma:versionID="a417e9753e3d792863aced1e64ec9d6f">
  <xsd:schema xmlns:xsd="http://www.w3.org/2001/XMLSchema" xmlns:xs="http://www.w3.org/2001/XMLSchema" xmlns:p="http://schemas.microsoft.com/office/2006/metadata/properties" xmlns:ns2="5c318fe3-1931-4a10-b459-587509ca3691" targetNamespace="http://schemas.microsoft.com/office/2006/metadata/properties" ma:root="true" ma:fieldsID="101cf928b368353fd0d05ae049518a79" ns2:_="">
    <xsd:import namespace="5c318fe3-1931-4a10-b459-587509ca369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318fe3-1931-4a10-b459-587509ca3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286055-BE3F-4B15-A8E9-E59B5DCE6366}"/>
</file>

<file path=customXml/itemProps2.xml><?xml version="1.0" encoding="utf-8"?>
<ds:datastoreItem xmlns:ds="http://schemas.openxmlformats.org/officeDocument/2006/customXml" ds:itemID="{C60043EC-38F4-442A-ADD3-70A399F9519E}"/>
</file>

<file path=customXml/itemProps3.xml><?xml version="1.0" encoding="utf-8"?>
<ds:datastoreItem xmlns:ds="http://schemas.openxmlformats.org/officeDocument/2006/customXml" ds:itemID="{26FCDFE7-1247-42C8-B41C-3A9BF5D8A5CE}"/>
</file>

<file path=docMetadata/LabelInfo.xml><?xml version="1.0" encoding="utf-8"?>
<clbl:labelList xmlns:clbl="http://schemas.microsoft.com/office/2020/mipLabelMetadata">
  <clbl:label id="{03ef5274-90b8-4b3f-8a76-b4c36a43e904}" enabled="1" method="Standard" siteId="{61e6eeb3-5fd7-4aaa-ae3c-61e8deb09b7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2026-02-11T17:11:42Z</dcterms:created>
  <dcterms:modified xsi:type="dcterms:W3CDTF">2026-05-18T15:24:54Z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0x0101003CE9E2A69C8C34479337E79D1ABCFE4C</vt:lpwstr>
  </property>
</Properties>
</file>